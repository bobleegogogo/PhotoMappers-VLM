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windowWidth="21550" windowHeight="10080" tabRatio="868" activeTab="8"/>
  </bookViews>
  <sheets>
    <sheet name="Water_Systems" sheetId="1" r:id="rId1"/>
    <sheet name="Hazmat" sheetId="2" r:id="rId2"/>
    <sheet name="Communications" sheetId="3" r:id="rId3"/>
    <sheet name="Health_Medical" sheetId="4" r:id="rId4"/>
    <sheet name="Energy" sheetId="5" r:id="rId5"/>
    <sheet name="Other" sheetId="6" r:id="rId6"/>
    <sheet name="Safety_Security" sheetId="7" r:id="rId7"/>
    <sheet name="Food_Water_Shelter" sheetId="8" r:id="rId8"/>
    <sheet name="Transport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<sst xmlns="http://schemas.openxmlformats.org/spreadsheetml/2006/main" count="480" uniqueCount="59">
  <si>
    <t>Water_Systems — Indicator score comparison</t>
  </si>
  <si>
    <t>No.</t>
  </si>
  <si>
    <t>Indicator name</t>
  </si>
  <si>
    <t>Qwen3.6-27B κw</t>
  </si>
  <si>
    <t>Qwen3.6-27B Agr.</t>
  </si>
  <si>
    <t>InternVL3-8B κw</t>
  </si>
  <si>
    <t>InternVL3-8B Agr.</t>
  </si>
  <si>
    <t>Building type and scale</t>
  </si>
  <si>
    <t>Overall building appearance</t>
  </si>
  <si>
    <t>N/A</t>
  </si>
  <si>
    <t>Building position relative to nearby roads or open space</t>
  </si>
  <si>
    <t>Building position and shape correspondence in SVI--RSI</t>
  </si>
  <si>
    <t>Recognizable building outline</t>
  </si>
  <si>
    <t>Distinctive building appearance or visible name</t>
  </si>
  <si>
    <t>Road type and width</t>
  </si>
  <si>
    <t>Road markings and boundary features</t>
  </si>
  <si>
    <t>Road direction and connectivity</t>
  </si>
  <si>
    <t>Road position relative to surrounding elements</t>
  </si>
  <si>
    <t>Distinctive intersection, bridge, or road curve</t>
  </si>
  <si>
    <t>Traffic lights, road signs, or road markers</t>
  </si>
  <si>
    <t>Vegetation coverage and type</t>
  </si>
  <si>
    <t>Ground surface characteristics</t>
  </si>
  <si>
    <t>Vegetation position relative to roads or buildings</t>
  </si>
  <si>
    <t>Waterbody, shoreline, or open-space position</t>
  </si>
  <si>
    <t>Prominent trees, forest belts, or distinctive vegetation</t>
  </si>
  <si>
    <t>Coastline, river, lake, or slope outline</t>
  </si>
  <si>
    <t>Utility poles, streetlights, and cables</t>
  </si>
  <si>
    <t>Road signs, fences, and guardrails</t>
  </si>
  <si>
    <t>Facility position relative to roads or buildings</t>
  </si>
  <si>
    <t>Local facility grouping and arrangement</t>
  </si>
  <si>
    <t>Large facilities such as antennas, water towers, or pylons</t>
  </si>
  <si>
    <t>Recognizable signs such as storefront signs, billboards, or gas-station signs</t>
  </si>
  <si>
    <t>Scene functional type</t>
  </si>
  <si>
    <t>Spatial density and openness</t>
  </si>
  <si>
    <t>Overall building--road--vegetation relationship</t>
  </si>
  <si>
    <t>Consistency between the VGI visible scene and the SVI--RSI overall scene</t>
  </si>
  <si>
    <t>Large building complex, community, or commercial area</t>
  </si>
  <si>
    <t>Coastline, river, bridge, or regional background</t>
  </si>
  <si>
    <t>Building and structure average</t>
  </si>
  <si>
    <t>Road and transport average</t>
  </si>
  <si>
    <t>Vegetation and terrain average</t>
  </si>
  <si>
    <t>Objects and facilities average</t>
  </si>
  <si>
    <t>Global scene average</t>
  </si>
  <si>
    <t>Appearance dimension average</t>
  </si>
  <si>
    <t>Spatial layout dimension average</t>
  </si>
  <si>
    <t>Landmark cue dimension average</t>
  </si>
  <si>
    <t>Overall indicator-level average</t>
  </si>
  <si>
    <t>Reference: indicator score. Both models use textual descriptions.</t>
  </si>
  <si>
    <t>Only valid paired scores (0, 1, 2) are included; missing scores are not imputed.</t>
  </si>
  <si>
    <t>N/A: kappa is undefined when expected disagreement is zero or no valid pairs exist.</t>
  </si>
  <si>
    <t>Averages use defined indicator statistics; undefined values are excluded.</t>
  </si>
  <si>
    <t>Hazmat — Indicator score comparison</t>
  </si>
  <si>
    <t>Communications — Indicator score comparison</t>
  </si>
  <si>
    <t>Health_Medical — Indicator score comparison</t>
  </si>
  <si>
    <t>Energy — Indicator score comparison</t>
  </si>
  <si>
    <t>Other — Indicator score comparison</t>
  </si>
  <si>
    <t>Safety_Security — Indicator score comparison</t>
  </si>
  <si>
    <t>Food_Water_Shelter — Indicator score comparison</t>
  </si>
  <si>
    <t>Transportation — Indicator score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</si>
</sst>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name val="Carlito"/>
      <charset val="134"/>
    </font>
    <font>
      <sz val="14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03F60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DCE7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3" fillId="0" borderId="0" xfId="49" applyNumberFormat="1" applyFont="1" applyFill="1" applyBorder="1" applyAlignment="1">
      <alignment wrapText="1"/>
    </xf>
    <xf numFmtId="176" fontId="3" fillId="0" borderId="0" xfId="49" applyNumberFormat="1" applyFont="1" applyFill="1" applyBorder="1"/>
    <xf numFmtId="10" fontId="3" fillId="0" borderId="0" xfId="49" applyNumberFormat="1" applyFont="1" applyFill="1" applyBorder="1"/>
    <xf numFmtId="0" fontId="3" fillId="3" borderId="0" xfId="49" applyNumberFormat="1" applyFont="1" applyFill="1" applyBorder="1"/>
    <xf numFmtId="0" fontId="4" fillId="3" borderId="0" xfId="49" applyNumberFormat="1" applyFont="1" applyFill="1" applyBorder="1" applyAlignment="1">
      <alignment wrapText="1"/>
    </xf>
    <xf numFmtId="176" fontId="3" fillId="3" borderId="0" xfId="49" applyNumberFormat="1" applyFont="1" applyFill="1" applyBorder="1"/>
    <xf numFmtId="10" fontId="3" fillId="3" borderId="0" xfId="49" applyNumberFormat="1" applyFont="1" applyFill="1" applyBorder="1"/>
    <xf numFmtId="0" fontId="3" fillId="4" borderId="0" xfId="49" applyNumberFormat="1" applyFont="1" applyFill="1" applyBorder="1"/>
    <xf numFmtId="0" fontId="4" fillId="4" borderId="0" xfId="49" applyNumberFormat="1" applyFont="1" applyFill="1" applyBorder="1" applyAlignment="1">
      <alignment wrapText="1"/>
    </xf>
    <xf numFmtId="176" fontId="3" fillId="4" borderId="0" xfId="49" applyNumberFormat="1" applyFont="1" applyFill="1" applyBorder="1"/>
    <xf numFmtId="10" fontId="3" fillId="4" borderId="0" xfId="49" applyNumberFormat="1" applyFont="1" applyFill="1" applyBorder="1"/>
    <xf numFmtId="0" fontId="0" fillId="0" borderId="0" xfId="49" applyAlignment="1">
      <alignment horizontal="right"/>
    </xf>
    <xf numFmtId="0" fontId="2" fillId="2" borderId="0" xfId="49" applyNumberFormat="1" applyFont="1" applyFill="1" applyBorder="1" applyAlignment="1">
      <alignment horizontal="right" wrapText="1"/>
    </xf>
    <xf numFmtId="176" fontId="3" fillId="0" borderId="0" xfId="49" applyNumberFormat="1" applyFont="1" applyFill="1" applyBorder="1" applyAlignment="1">
      <alignment horizontal="right"/>
    </xf>
    <xf numFmtId="176" fontId="3" fillId="3" borderId="0" xfId="49" applyNumberFormat="1" applyFont="1" applyFill="1" applyBorder="1" applyAlignment="1">
      <alignment horizontal="right"/>
    </xf>
    <xf numFmtId="176" fontId="3" fillId="4" borderId="0" xfId="49" applyNumberFormat="1" applyFont="1" applyFill="1" applyBorder="1" applyAlignment="1">
      <alignment horizontal="right"/>
    </xf>
    <xf numFmtId="10" fontId="3" fillId="0" borderId="0" xfId="49" applyNumberFormat="1" applyFont="1" applyFill="1" applyBorder="1" applyAlignment="1">
      <alignment horizontal="right"/>
    </xf>
    <xf numFmtId="10" fontId="3" fillId="3" borderId="0" xfId="49" applyNumberFormat="1" applyFont="1" applyFill="1" applyBorder="1" applyAlignment="1">
      <alignment horizontal="right"/>
    </xf>
    <xf numFmtId="10" fontId="3" fillId="4" borderId="0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zoomScale="85" zoomScaleNormal="85" workbookViewId="0">
      <pane ySplit="4" topLeftCell="A28" activePane="bottomLeft" state="frozen"/>
      <selection/>
      <selection pane="bottomLeft" activeCell="C49" sqref="C49"/>
    </sheetView>
  </sheetViews>
  <sheetFormatPr defaultColWidth="9" defaultRowHeight="14" customHeight="1" outlineLevelCol="5"/>
  <cols>
    <col min="1" max="1" width="6" customWidth="1"/>
    <col min="2" max="2" width="70" customWidth="1"/>
    <col min="3" max="6" width="20" style="15" customWidth="1"/>
  </cols>
  <sheetData>
    <row r="2" customHeight="1" spans="1:6">
      <c r="A2" s="1" t="s">
        <v>0</v>
      </c>
    </row>
    <row r="4" customHeight="1" spans="1:6">
      <c r="A4" s="2" t="s">
        <v>1</v>
      </c>
      <c r="B4" s="2" t="s">
        <v>2</v>
      </c>
      <c r="C4" s="16" t="s">
        <v>3</v>
      </c>
      <c r="D4" s="16" t="s">
        <v>4</v>
      </c>
      <c r="E4" s="16" t="s">
        <v>5</v>
      </c>
      <c r="F4" s="16" t="s">
        <v>6</v>
      </c>
    </row>
    <row r="5" customHeight="1" spans="1:6">
      <c r="A5" s="3">
        <v>1</v>
      </c>
      <c r="B5" s="4" t="s">
        <v>7</v>
      </c>
      <c r="C5" s="17">
        <v>0</v>
      </c>
      <c r="D5" s="20">
        <v>0</v>
      </c>
      <c r="E5" s="17">
        <v>0</v>
      </c>
      <c r="F5" s="20">
        <v>0</v>
      </c>
    </row>
    <row r="6" customHeight="1" spans="1:6">
      <c r="A6" s="3">
        <v>2</v>
      </c>
      <c r="B6" s="4" t="s">
        <v>8</v>
      </c>
      <c r="C6" s="17" t="s">
        <v>9</v>
      </c>
      <c r="D6" s="20">
        <v>1</v>
      </c>
      <c r="E6" s="17">
        <v>0</v>
      </c>
      <c r="F6" s="20">
        <v>0</v>
      </c>
    </row>
    <row r="7" customHeight="1" spans="1:6">
      <c r="A7" s="3">
        <v>3</v>
      </c>
      <c r="B7" s="4" t="s">
        <v>10</v>
      </c>
      <c r="C7" s="17" t="s">
        <v>9</v>
      </c>
      <c r="D7" s="20">
        <v>1</v>
      </c>
      <c r="E7" s="17">
        <v>0</v>
      </c>
      <c r="F7" s="20">
        <v>0</v>
      </c>
    </row>
    <row r="8" customHeight="1" spans="1:6">
      <c r="A8" s="3">
        <v>4</v>
      </c>
      <c r="B8" s="4" t="s">
        <v>11</v>
      </c>
      <c r="C8" s="17" t="s">
        <v>9</v>
      </c>
      <c r="D8" s="20">
        <v>1</v>
      </c>
      <c r="E8" s="17">
        <v>0</v>
      </c>
      <c r="F8" s="20">
        <v>0</v>
      </c>
    </row>
    <row r="9" customHeight="1" spans="1:6">
      <c r="A9" s="3">
        <v>5</v>
      </c>
      <c r="B9" s="4" t="s">
        <v>12</v>
      </c>
      <c r="C9" s="17" t="s">
        <v>9</v>
      </c>
      <c r="D9" s="20">
        <v>1</v>
      </c>
      <c r="E9" s="17">
        <v>0</v>
      </c>
      <c r="F9" s="20">
        <v>0</v>
      </c>
    </row>
    <row r="10" customHeight="1" spans="1:6">
      <c r="A10" s="3">
        <v>6</v>
      </c>
      <c r="B10" s="4" t="s">
        <v>13</v>
      </c>
      <c r="C10" s="17" t="s">
        <v>9</v>
      </c>
      <c r="D10" s="20">
        <v>1</v>
      </c>
      <c r="E10" s="17">
        <v>0</v>
      </c>
      <c r="F10" s="20">
        <v>0</v>
      </c>
    </row>
    <row r="11" customHeight="1" spans="1:6">
      <c r="A11" s="3">
        <v>7</v>
      </c>
      <c r="B11" s="4" t="s">
        <v>14</v>
      </c>
      <c r="C11" s="17" t="s">
        <v>9</v>
      </c>
      <c r="D11" s="20">
        <v>1</v>
      </c>
      <c r="E11" s="17">
        <v>0</v>
      </c>
      <c r="F11" s="20">
        <v>0</v>
      </c>
    </row>
    <row r="12" customHeight="1" spans="1:6">
      <c r="A12" s="3">
        <v>8</v>
      </c>
      <c r="B12" s="4" t="s">
        <v>15</v>
      </c>
      <c r="C12" s="17" t="s">
        <v>9</v>
      </c>
      <c r="D12" s="20">
        <v>1</v>
      </c>
      <c r="E12" s="17">
        <v>0</v>
      </c>
      <c r="F12" s="20">
        <v>0</v>
      </c>
    </row>
    <row r="13" customHeight="1" spans="1:6">
      <c r="A13" s="3">
        <v>9</v>
      </c>
      <c r="B13" s="4" t="s">
        <v>16</v>
      </c>
      <c r="C13" s="17" t="s">
        <v>9</v>
      </c>
      <c r="D13" s="20">
        <v>1</v>
      </c>
      <c r="E13" s="17">
        <v>0</v>
      </c>
      <c r="F13" s="20">
        <v>0</v>
      </c>
    </row>
    <row r="14" customHeight="1" spans="1:6">
      <c r="A14" s="3">
        <v>10</v>
      </c>
      <c r="B14" s="4" t="s">
        <v>17</v>
      </c>
      <c r="C14" s="17" t="s">
        <v>9</v>
      </c>
      <c r="D14" s="20">
        <v>1</v>
      </c>
      <c r="E14" s="17">
        <v>0</v>
      </c>
      <c r="F14" s="20">
        <v>0</v>
      </c>
    </row>
    <row r="15" customHeight="1" spans="1:6">
      <c r="A15" s="3">
        <v>11</v>
      </c>
      <c r="B15" s="4" t="s">
        <v>18</v>
      </c>
      <c r="C15" s="17" t="s">
        <v>9</v>
      </c>
      <c r="D15" s="20">
        <v>1</v>
      </c>
      <c r="E15" s="17">
        <v>0</v>
      </c>
      <c r="F15" s="20">
        <v>0</v>
      </c>
    </row>
    <row r="16" customHeight="1" spans="1:6">
      <c r="A16" s="3">
        <v>12</v>
      </c>
      <c r="B16" s="4" t="s">
        <v>19</v>
      </c>
      <c r="C16" s="17" t="s">
        <v>9</v>
      </c>
      <c r="D16" s="20">
        <v>1</v>
      </c>
      <c r="E16" s="17">
        <v>0</v>
      </c>
      <c r="F16" s="20">
        <v>0</v>
      </c>
    </row>
    <row r="17" customHeight="1" spans="1:6">
      <c r="A17" s="3">
        <v>13</v>
      </c>
      <c r="B17" s="4" t="s">
        <v>20</v>
      </c>
      <c r="C17" s="17">
        <v>0</v>
      </c>
      <c r="D17" s="20">
        <v>0</v>
      </c>
      <c r="E17" s="17">
        <v>0</v>
      </c>
      <c r="F17" s="20">
        <v>0</v>
      </c>
    </row>
    <row r="18" customHeight="1" spans="1:6">
      <c r="A18" s="3">
        <v>14</v>
      </c>
      <c r="B18" s="4" t="s">
        <v>21</v>
      </c>
      <c r="C18" s="17">
        <v>0</v>
      </c>
      <c r="D18" s="20">
        <v>0</v>
      </c>
      <c r="E18" s="17">
        <v>0</v>
      </c>
      <c r="F18" s="20">
        <v>0</v>
      </c>
    </row>
    <row r="19" customHeight="1" spans="1:6">
      <c r="A19" s="3">
        <v>15</v>
      </c>
      <c r="B19" s="4" t="s">
        <v>22</v>
      </c>
      <c r="C19" s="17" t="s">
        <v>9</v>
      </c>
      <c r="D19" s="20">
        <v>1</v>
      </c>
      <c r="E19" s="17">
        <v>0</v>
      </c>
      <c r="F19" s="20">
        <v>0</v>
      </c>
    </row>
    <row r="20" customHeight="1" spans="1:6">
      <c r="A20" s="3">
        <v>16</v>
      </c>
      <c r="B20" s="4" t="s">
        <v>23</v>
      </c>
      <c r="C20" s="17">
        <v>0</v>
      </c>
      <c r="D20" s="20">
        <v>0</v>
      </c>
      <c r="E20" s="17">
        <v>0</v>
      </c>
      <c r="F20" s="20">
        <v>0</v>
      </c>
    </row>
    <row r="21" customHeight="1" spans="1:6">
      <c r="A21" s="3">
        <v>17</v>
      </c>
      <c r="B21" s="4" t="s">
        <v>24</v>
      </c>
      <c r="C21" s="17" t="s">
        <v>9</v>
      </c>
      <c r="D21" s="20">
        <v>1</v>
      </c>
      <c r="E21" s="17">
        <v>0</v>
      </c>
      <c r="F21" s="20">
        <v>0</v>
      </c>
    </row>
    <row r="22" customHeight="1" spans="1:6">
      <c r="A22" s="3">
        <v>18</v>
      </c>
      <c r="B22" s="4" t="s">
        <v>25</v>
      </c>
      <c r="C22" s="17">
        <v>0</v>
      </c>
      <c r="D22" s="20">
        <v>0</v>
      </c>
      <c r="E22" s="17">
        <v>0</v>
      </c>
      <c r="F22" s="20">
        <v>0</v>
      </c>
    </row>
    <row r="23" customHeight="1" spans="1:6">
      <c r="A23" s="3">
        <v>19</v>
      </c>
      <c r="B23" s="4" t="s">
        <v>26</v>
      </c>
      <c r="C23" s="17">
        <v>0</v>
      </c>
      <c r="D23" s="20">
        <v>0</v>
      </c>
      <c r="E23" s="17" t="s">
        <v>9</v>
      </c>
      <c r="F23" s="20">
        <v>1</v>
      </c>
    </row>
    <row r="24" customHeight="1" spans="1:6">
      <c r="A24" s="3">
        <v>20</v>
      </c>
      <c r="B24" s="4" t="s">
        <v>27</v>
      </c>
      <c r="C24" s="17">
        <v>0</v>
      </c>
      <c r="D24" s="20">
        <v>0</v>
      </c>
      <c r="E24" s="17">
        <v>0</v>
      </c>
      <c r="F24" s="20">
        <v>0</v>
      </c>
    </row>
    <row r="25" customHeight="1" spans="1:6">
      <c r="A25" s="3">
        <v>21</v>
      </c>
      <c r="B25" s="4" t="s">
        <v>28</v>
      </c>
      <c r="C25" s="17">
        <v>0</v>
      </c>
      <c r="D25" s="20">
        <v>0</v>
      </c>
      <c r="E25" s="17">
        <v>0</v>
      </c>
      <c r="F25" s="20">
        <v>0</v>
      </c>
    </row>
    <row r="26" customHeight="1" spans="1:6">
      <c r="A26" s="3">
        <v>22</v>
      </c>
      <c r="B26" s="4" t="s">
        <v>29</v>
      </c>
      <c r="C26" s="17" t="s">
        <v>9</v>
      </c>
      <c r="D26" s="20">
        <v>1</v>
      </c>
      <c r="E26" s="17">
        <v>0</v>
      </c>
      <c r="F26" s="20">
        <v>0</v>
      </c>
    </row>
    <row r="27" customHeight="1" spans="1:6">
      <c r="A27" s="3">
        <v>23</v>
      </c>
      <c r="B27" s="4" t="s">
        <v>30</v>
      </c>
      <c r="C27" s="17" t="s">
        <v>9</v>
      </c>
      <c r="D27" s="20">
        <v>1</v>
      </c>
      <c r="E27" s="17" t="s">
        <v>9</v>
      </c>
      <c r="F27" s="20">
        <v>1</v>
      </c>
    </row>
    <row r="28" customHeight="1" spans="1:6">
      <c r="A28" s="3">
        <v>24</v>
      </c>
      <c r="B28" s="4" t="s">
        <v>31</v>
      </c>
      <c r="C28" s="17" t="s">
        <v>9</v>
      </c>
      <c r="D28" s="20">
        <v>1</v>
      </c>
      <c r="E28" s="17">
        <v>0</v>
      </c>
      <c r="F28" s="20">
        <v>0</v>
      </c>
    </row>
    <row r="29" customHeight="1" spans="1:6">
      <c r="A29" s="3">
        <v>25</v>
      </c>
      <c r="B29" s="4" t="s">
        <v>32</v>
      </c>
      <c r="C29" s="17">
        <v>0</v>
      </c>
      <c r="D29" s="20">
        <v>0</v>
      </c>
      <c r="E29" s="17">
        <v>0</v>
      </c>
      <c r="F29" s="20">
        <v>0</v>
      </c>
    </row>
    <row r="30" customHeight="1" spans="1:6">
      <c r="A30" s="3">
        <v>26</v>
      </c>
      <c r="B30" s="4" t="s">
        <v>33</v>
      </c>
      <c r="C30" s="17" t="s">
        <v>9</v>
      </c>
      <c r="D30" s="20">
        <v>1</v>
      </c>
      <c r="E30" s="17">
        <v>0</v>
      </c>
      <c r="F30" s="20">
        <v>0</v>
      </c>
    </row>
    <row r="31" customHeight="1" spans="1:6">
      <c r="A31" s="3">
        <v>27</v>
      </c>
      <c r="B31" s="4" t="s">
        <v>34</v>
      </c>
      <c r="C31" s="17" t="s">
        <v>9</v>
      </c>
      <c r="D31" s="20">
        <v>1</v>
      </c>
      <c r="E31" s="17" t="s">
        <v>9</v>
      </c>
      <c r="F31" s="20">
        <v>1</v>
      </c>
    </row>
    <row r="32" customHeight="1" spans="1:6">
      <c r="A32" s="3">
        <v>28</v>
      </c>
      <c r="B32" s="4" t="s">
        <v>35</v>
      </c>
      <c r="C32" s="17" t="s">
        <v>9</v>
      </c>
      <c r="D32" s="20">
        <v>1</v>
      </c>
      <c r="E32" s="17" t="s">
        <v>9</v>
      </c>
      <c r="F32" s="20">
        <v>1</v>
      </c>
    </row>
    <row r="33" customHeight="1" spans="1:6">
      <c r="A33" s="3">
        <v>29</v>
      </c>
      <c r="B33" s="4" t="s">
        <v>36</v>
      </c>
      <c r="C33" s="17" t="s">
        <v>9</v>
      </c>
      <c r="D33" s="20">
        <v>1</v>
      </c>
      <c r="E33" s="17" t="s">
        <v>9</v>
      </c>
      <c r="F33" s="20">
        <v>1</v>
      </c>
    </row>
    <row r="34" customHeight="1" spans="1:6">
      <c r="A34" s="3">
        <v>30</v>
      </c>
      <c r="B34" s="4" t="s">
        <v>37</v>
      </c>
      <c r="C34" s="17" t="s">
        <v>9</v>
      </c>
      <c r="D34" s="20">
        <v>1</v>
      </c>
      <c r="E34" s="17" t="s">
        <v>9</v>
      </c>
      <c r="F34" s="20">
        <v>1</v>
      </c>
    </row>
    <row r="35" customHeight="1" spans="1:6">
      <c r="A35" s="7"/>
      <c r="B35" s="8" t="s">
        <v>38</v>
      </c>
      <c r="C35" s="18">
        <f>IFERROR(AVERAGE(C5,C6,C7,C8,C9,C10),"N/A")</f>
        <v>0</v>
      </c>
      <c r="D35" s="21">
        <f>IFERROR(AVERAGE(D5,D6,D7,D8,D9,D10),"N/A")</f>
        <v>0.833333333333333</v>
      </c>
      <c r="E35" s="18">
        <f>IFERROR(AVERAGE(E5,E6,E7,E8,E9,E10),"N/A")</f>
        <v>0</v>
      </c>
      <c r="F35" s="21">
        <f>IFERROR(AVERAGE(F5,F6,F7,F8,F9,F10),"N/A")</f>
        <v>0</v>
      </c>
    </row>
    <row r="36" customHeight="1" spans="1:6">
      <c r="A36" s="7"/>
      <c r="B36" s="8" t="s">
        <v>39</v>
      </c>
      <c r="C36" s="18" t="s">
        <v>9</v>
      </c>
      <c r="D36" s="21">
        <f>IFERROR(AVERAGE(D11,D12,D13,D14,D15,D16),"N/A")</f>
        <v>1</v>
      </c>
      <c r="E36" s="18">
        <f>IFERROR(AVERAGE(E11,E12,E13,E14,E15,E16),"N/A")</f>
        <v>0</v>
      </c>
      <c r="F36" s="21">
        <f>IFERROR(AVERAGE(F11,F12,F13,F14,F15,F16),"N/A")</f>
        <v>0</v>
      </c>
    </row>
    <row r="37" customHeight="1" spans="1:6">
      <c r="A37" s="7"/>
      <c r="B37" s="8" t="s">
        <v>40</v>
      </c>
      <c r="C37" s="18">
        <f>IFERROR(AVERAGE(C17,C18,C19,C20,C21,C22),"N/A")</f>
        <v>0</v>
      </c>
      <c r="D37" s="21">
        <f>IFERROR(AVERAGE(D17,D18,D19,D20,D21,D22),"N/A")</f>
        <v>0.333333333333333</v>
      </c>
      <c r="E37" s="18">
        <f>IFERROR(AVERAGE(E17,E18,E19,E20,E21,E22),"N/A")</f>
        <v>0</v>
      </c>
      <c r="F37" s="21">
        <f>IFERROR(AVERAGE(F17,F18,F19,F20,F21,F22),"N/A")</f>
        <v>0</v>
      </c>
    </row>
    <row r="38" customHeight="1" spans="1:6">
      <c r="A38" s="7"/>
      <c r="B38" s="8" t="s">
        <v>41</v>
      </c>
      <c r="C38" s="18">
        <f>IFERROR(AVERAGE(C23,C24,C25,C26,C27,C28),"N/A")</f>
        <v>0</v>
      </c>
      <c r="D38" s="21">
        <f>IFERROR(AVERAGE(D23,D24,D25,D26,D27,D28),"N/A")</f>
        <v>0.5</v>
      </c>
      <c r="E38" s="18">
        <f>IFERROR(AVERAGE(E23,E24,E25,E26,E27,E28),"N/A")</f>
        <v>0</v>
      </c>
      <c r="F38" s="21">
        <f>IFERROR(AVERAGE(F23,F24,F25,F26,F27,F28),"N/A")</f>
        <v>0.333333333333333</v>
      </c>
    </row>
    <row r="39" customHeight="1" spans="1:6">
      <c r="A39" s="7"/>
      <c r="B39" s="8" t="s">
        <v>42</v>
      </c>
      <c r="C39" s="18">
        <f>IFERROR(AVERAGE(C29,C30,C31,C32,C33,C34),"N/A")</f>
        <v>0</v>
      </c>
      <c r="D39" s="21">
        <f>IFERROR(AVERAGE(D29,D30,D31,D32,D33,D34),"N/A")</f>
        <v>0.833333333333333</v>
      </c>
      <c r="E39" s="18">
        <f>IFERROR(AVERAGE(E29,E30,E31,E32,E33,E34),"N/A")</f>
        <v>0</v>
      </c>
      <c r="F39" s="21">
        <f>IFERROR(AVERAGE(F29,F30,F31,F32,F33,F34),"N/A")</f>
        <v>0.666666666666667</v>
      </c>
    </row>
    <row r="40" customHeight="1" spans="1:6">
      <c r="A40" s="7"/>
      <c r="B40" s="8" t="s">
        <v>43</v>
      </c>
      <c r="C40" s="18">
        <f>IFERROR(AVERAGE(C5,C6,C11,C12,C17,C18,C23,C24,C29,C30),"N/A")</f>
        <v>0</v>
      </c>
      <c r="D40" s="21">
        <f>IFERROR(AVERAGE(D5,D6,D11,D12,D17,D18,D23,D24,D29,D30),"N/A")</f>
        <v>0.4</v>
      </c>
      <c r="E40" s="18">
        <f>IFERROR(AVERAGE(E5,E6,E11,E12,E17,E18,E23,E24,E29,E30),"N/A")</f>
        <v>0</v>
      </c>
      <c r="F40" s="21">
        <f>IFERROR(AVERAGE(F5,F6,F11,F12,F17,F18,F23,F24,F29,F30),"N/A")</f>
        <v>0.1</v>
      </c>
    </row>
    <row r="41" customHeight="1" spans="1:6">
      <c r="A41" s="7"/>
      <c r="B41" s="8" t="s">
        <v>44</v>
      </c>
      <c r="C41" s="18">
        <f>IFERROR(AVERAGE(C7,C8,C13,C14,C19,C20,C25,C26,C31,C32),"N/A")</f>
        <v>0</v>
      </c>
      <c r="D41" s="21">
        <f>IFERROR(AVERAGE(D7,D8,D13,D14,D19,D20,D25,D26,D31,D32),"N/A")</f>
        <v>0.8</v>
      </c>
      <c r="E41" s="18">
        <f>IFERROR(AVERAGE(E7,E8,E13,E14,E19,E20,E25,E26,E31,E32),"N/A")</f>
        <v>0</v>
      </c>
      <c r="F41" s="21">
        <f>IFERROR(AVERAGE(F7,F8,F13,F14,F19,F20,F25,F26,F31,F32),"N/A")</f>
        <v>0.2</v>
      </c>
    </row>
    <row r="42" customHeight="1" spans="1:6">
      <c r="A42" s="7"/>
      <c r="B42" s="8" t="s">
        <v>45</v>
      </c>
      <c r="C42" s="18">
        <f>IFERROR(AVERAGE(C9,C10,C15,C16,C21,C22,C27,C28,C33,C34),"N/A")</f>
        <v>0</v>
      </c>
      <c r="D42" s="21">
        <f>IFERROR(AVERAGE(D9,D10,D15,D16,D21,D22,D27,D28,D33,D34),"N/A")</f>
        <v>0.9</v>
      </c>
      <c r="E42" s="18">
        <f>IFERROR(AVERAGE(E9,E10,E15,E16,E21,E22,E27,E28,E33,E34),"N/A")</f>
        <v>0</v>
      </c>
      <c r="F42" s="21">
        <f>IFERROR(AVERAGE(F9,F10,F15,F16,F21,F22,F27,F28,F33,F34),"N/A")</f>
        <v>0.3</v>
      </c>
    </row>
    <row r="43" customHeight="1" spans="1:6">
      <c r="A43" s="11"/>
      <c r="B43" s="12" t="s">
        <v>46</v>
      </c>
      <c r="C43" s="19">
        <f>IFERROR(AVERAGE(C5,C6,C7,C8,C9,C10,C11,C12,C13,C14,C15,C16,C17,C18,C19,C20,C21,C22,C23,C24,C25,C26,C27,C28,C29,C30,C31,C32,C33,C34),"N/A")</f>
        <v>0</v>
      </c>
      <c r="D43" s="22">
        <f>IFERROR(AVERAGE(D5,D6,D7,D8,D9,D10,D11,D12,D13,D14,D15,D16,D17,D18,D19,D20,D21,D22,D23,D24,D25,D26,D27,D28,D29,D30,D31,D32,D33,D34),"N/A")</f>
        <v>0.7</v>
      </c>
      <c r="E43" s="19">
        <f>IFERROR(AVERAGE(E5,E6,E7,E8,E9,E10,E11,E12,E13,E14,E15,E16,E17,E18,E19,E20,E21,E22,E23,E24,E25,E26,E27,E28,E29,E30,E31,E32,E33,E34),"N/A")</f>
        <v>0</v>
      </c>
      <c r="F43" s="22">
        <f>IFERROR(AVERAGE(F5,F6,F7,F8,F9,F10,F11,F12,F13,F14,F15,F16,F17,F18,F19,F20,F21,F22,F23,F24,F25,F26,F27,F28,F29,F30,F31,F32,F33,F34),"N/A")</f>
        <v>0.2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workbookViewId="0">
      <pane ySplit="4" topLeftCell="A5" activePane="bottomLeft" state="frozen"/>
      <selection/>
      <selection pane="bottomLeft" activeCell="C9" sqref="C9"/>
    </sheetView>
  </sheetViews>
  <sheetFormatPr defaultColWidth="9" defaultRowHeight="14" customHeight="1" outlineLevelCol="5"/>
  <cols>
    <col min="1" max="1" width="6" customWidth="1"/>
    <col min="2" max="2" width="70" customWidth="1"/>
    <col min="3" max="6" width="20" style="15" customWidth="1"/>
  </cols>
  <sheetData>
    <row r="2" customHeight="1" spans="1:6">
      <c r="A2" s="1" t="s">
        <v>51</v>
      </c>
    </row>
    <row r="4" customHeight="1" spans="1:6">
      <c r="A4" s="2" t="s">
        <v>1</v>
      </c>
      <c r="B4" s="2" t="s">
        <v>2</v>
      </c>
      <c r="C4" s="16" t="s">
        <v>3</v>
      </c>
      <c r="D4" s="16" t="s">
        <v>4</v>
      </c>
      <c r="E4" s="16" t="s">
        <v>5</v>
      </c>
      <c r="F4" s="16" t="s">
        <v>6</v>
      </c>
    </row>
    <row r="5" customHeight="1" spans="1:6">
      <c r="A5" s="3">
        <v>1</v>
      </c>
      <c r="B5" s="4" t="s">
        <v>7</v>
      </c>
      <c r="C5" s="17" t="s">
        <v>9</v>
      </c>
      <c r="D5" s="20">
        <v>1</v>
      </c>
      <c r="E5" s="17">
        <v>0</v>
      </c>
      <c r="F5" s="20">
        <v>0.5</v>
      </c>
    </row>
    <row r="6" customHeight="1" spans="1:6">
      <c r="A6" s="3">
        <v>2</v>
      </c>
      <c r="B6" s="4" t="s">
        <v>8</v>
      </c>
      <c r="C6" s="17">
        <v>0</v>
      </c>
      <c r="D6" s="20">
        <v>0.5</v>
      </c>
      <c r="E6" s="17">
        <v>0.666666666666667</v>
      </c>
      <c r="F6" s="20">
        <v>0.5</v>
      </c>
    </row>
    <row r="7" customHeight="1" spans="1:6">
      <c r="A7" s="3">
        <v>3</v>
      </c>
      <c r="B7" s="4" t="s">
        <v>10</v>
      </c>
      <c r="C7" s="17">
        <v>0</v>
      </c>
      <c r="D7" s="20">
        <v>0.5</v>
      </c>
      <c r="E7" s="17">
        <v>1</v>
      </c>
      <c r="F7" s="20">
        <v>1</v>
      </c>
    </row>
    <row r="8" customHeight="1" spans="1:6">
      <c r="A8" s="3">
        <v>4</v>
      </c>
      <c r="B8" s="4" t="s">
        <v>11</v>
      </c>
      <c r="C8" s="17">
        <v>0</v>
      </c>
      <c r="D8" s="20">
        <v>0.5</v>
      </c>
      <c r="E8" s="17">
        <v>1</v>
      </c>
      <c r="F8" s="20">
        <v>1</v>
      </c>
    </row>
    <row r="9" customHeight="1" spans="1:6">
      <c r="A9" s="3">
        <v>5</v>
      </c>
      <c r="B9" s="4" t="s">
        <v>12</v>
      </c>
      <c r="C9" s="17">
        <v>0</v>
      </c>
      <c r="D9" s="20">
        <v>0.5</v>
      </c>
      <c r="E9" s="17">
        <v>1</v>
      </c>
      <c r="F9" s="20">
        <v>1</v>
      </c>
    </row>
    <row r="10" customHeight="1" spans="1:6">
      <c r="A10" s="3">
        <v>6</v>
      </c>
      <c r="B10" s="4" t="s">
        <v>13</v>
      </c>
      <c r="C10" s="17">
        <v>0</v>
      </c>
      <c r="D10" s="20">
        <v>0</v>
      </c>
      <c r="E10" s="17">
        <v>0.666666666666667</v>
      </c>
      <c r="F10" s="20">
        <v>0.5</v>
      </c>
    </row>
    <row r="11" customHeight="1" spans="1:6">
      <c r="A11" s="3">
        <v>7</v>
      </c>
      <c r="B11" s="4" t="s">
        <v>14</v>
      </c>
      <c r="C11" s="17">
        <v>1</v>
      </c>
      <c r="D11" s="20">
        <v>1</v>
      </c>
      <c r="E11" s="17">
        <v>1</v>
      </c>
      <c r="F11" s="20">
        <v>1</v>
      </c>
    </row>
    <row r="12" customHeight="1" spans="1:6">
      <c r="A12" s="3">
        <v>8</v>
      </c>
      <c r="B12" s="4" t="s">
        <v>15</v>
      </c>
      <c r="C12" s="17">
        <v>0.666666666666667</v>
      </c>
      <c r="D12" s="20">
        <v>0.5</v>
      </c>
      <c r="E12" s="17">
        <v>0.666666666666667</v>
      </c>
      <c r="F12" s="20">
        <v>0.5</v>
      </c>
    </row>
    <row r="13" customHeight="1" spans="1:6">
      <c r="A13" s="3">
        <v>9</v>
      </c>
      <c r="B13" s="4" t="s">
        <v>16</v>
      </c>
      <c r="C13" s="17">
        <v>0.666666666666667</v>
      </c>
      <c r="D13" s="20">
        <v>0.5</v>
      </c>
      <c r="E13" s="17">
        <v>0.666666666666667</v>
      </c>
      <c r="F13" s="20">
        <v>0.5</v>
      </c>
    </row>
    <row r="14" customHeight="1" spans="1:6">
      <c r="A14" s="3">
        <v>10</v>
      </c>
      <c r="B14" s="4" t="s">
        <v>17</v>
      </c>
      <c r="C14" s="17">
        <v>0.666666666666667</v>
      </c>
      <c r="D14" s="20">
        <v>0.5</v>
      </c>
      <c r="E14" s="17">
        <v>1</v>
      </c>
      <c r="F14" s="20">
        <v>1</v>
      </c>
    </row>
    <row r="15" customHeight="1" spans="1:6">
      <c r="A15" s="3">
        <v>11</v>
      </c>
      <c r="B15" s="4" t="s">
        <v>18</v>
      </c>
      <c r="C15" s="17">
        <v>0.666666666666667</v>
      </c>
      <c r="D15" s="20">
        <v>0.5</v>
      </c>
      <c r="E15" s="17">
        <v>0.666666666666667</v>
      </c>
      <c r="F15" s="20">
        <v>0.5</v>
      </c>
    </row>
    <row r="16" customHeight="1" spans="1:6">
      <c r="A16" s="3">
        <v>12</v>
      </c>
      <c r="B16" s="4" t="s">
        <v>19</v>
      </c>
      <c r="C16" s="17">
        <v>0</v>
      </c>
      <c r="D16" s="20">
        <v>0.5</v>
      </c>
      <c r="E16" s="17">
        <v>0</v>
      </c>
      <c r="F16" s="20">
        <v>0.5</v>
      </c>
    </row>
    <row r="17" customHeight="1" spans="1:6">
      <c r="A17" s="3">
        <v>13</v>
      </c>
      <c r="B17" s="4" t="s">
        <v>20</v>
      </c>
      <c r="C17" s="17">
        <v>0.666666666666667</v>
      </c>
      <c r="D17" s="20">
        <v>0.5</v>
      </c>
      <c r="E17" s="17">
        <v>0.666666666666667</v>
      </c>
      <c r="F17" s="20">
        <v>0.5</v>
      </c>
    </row>
    <row r="18" customHeight="1" spans="1:6">
      <c r="A18" s="3">
        <v>14</v>
      </c>
      <c r="B18" s="4" t="s">
        <v>21</v>
      </c>
      <c r="C18" s="17">
        <v>0.666666666666667</v>
      </c>
      <c r="D18" s="20">
        <v>0.5</v>
      </c>
      <c r="E18" s="17">
        <v>0.666666666666667</v>
      </c>
      <c r="F18" s="20">
        <v>0.5</v>
      </c>
    </row>
    <row r="19" customHeight="1" spans="1:6">
      <c r="A19" s="3">
        <v>15</v>
      </c>
      <c r="B19" s="4" t="s">
        <v>22</v>
      </c>
      <c r="C19" s="17">
        <v>0.666666666666667</v>
      </c>
      <c r="D19" s="20">
        <v>0.5</v>
      </c>
      <c r="E19" s="17">
        <v>0.666666666666667</v>
      </c>
      <c r="F19" s="20">
        <v>0.5</v>
      </c>
    </row>
    <row r="20" customHeight="1" spans="1:6">
      <c r="A20" s="3">
        <v>16</v>
      </c>
      <c r="B20" s="4" t="s">
        <v>23</v>
      </c>
      <c r="C20" s="17">
        <v>0</v>
      </c>
      <c r="D20" s="20">
        <v>0.5</v>
      </c>
      <c r="E20" s="17">
        <v>0</v>
      </c>
      <c r="F20" s="20">
        <v>0.5</v>
      </c>
    </row>
    <row r="21" customHeight="1" spans="1:6">
      <c r="A21" s="3">
        <v>17</v>
      </c>
      <c r="B21" s="4" t="s">
        <v>24</v>
      </c>
      <c r="C21" s="17">
        <v>0.666666666666667</v>
      </c>
      <c r="D21" s="20">
        <v>0.5</v>
      </c>
      <c r="E21" s="17">
        <v>0.666666666666667</v>
      </c>
      <c r="F21" s="20">
        <v>0.5</v>
      </c>
    </row>
    <row r="22" customHeight="1" spans="1:6">
      <c r="A22" s="3">
        <v>18</v>
      </c>
      <c r="B22" s="4" t="s">
        <v>25</v>
      </c>
      <c r="C22" s="17">
        <v>0</v>
      </c>
      <c r="D22" s="20">
        <v>0.5</v>
      </c>
      <c r="E22" s="17">
        <v>0</v>
      </c>
      <c r="F22" s="20">
        <v>0.5</v>
      </c>
    </row>
    <row r="23" customHeight="1" spans="1:6">
      <c r="A23" s="3">
        <v>19</v>
      </c>
      <c r="B23" s="4" t="s">
        <v>26</v>
      </c>
      <c r="C23" s="17">
        <v>0</v>
      </c>
      <c r="D23" s="20">
        <v>0.5</v>
      </c>
      <c r="E23" s="17">
        <v>0.666666666666667</v>
      </c>
      <c r="F23" s="20">
        <v>0.5</v>
      </c>
    </row>
    <row r="24" customHeight="1" spans="1:6">
      <c r="A24" s="3">
        <v>20</v>
      </c>
      <c r="B24" s="4" t="s">
        <v>27</v>
      </c>
      <c r="C24" s="17">
        <v>0.666666666666667</v>
      </c>
      <c r="D24" s="20">
        <v>0.5</v>
      </c>
      <c r="E24" s="17">
        <v>0.666666666666667</v>
      </c>
      <c r="F24" s="20">
        <v>0.5</v>
      </c>
    </row>
    <row r="25" customHeight="1" spans="1:6">
      <c r="A25" s="3">
        <v>21</v>
      </c>
      <c r="B25" s="4" t="s">
        <v>28</v>
      </c>
      <c r="C25" s="17">
        <v>0</v>
      </c>
      <c r="D25" s="20">
        <v>0.5</v>
      </c>
      <c r="E25" s="17">
        <v>1</v>
      </c>
      <c r="F25" s="20">
        <v>1</v>
      </c>
    </row>
    <row r="26" customHeight="1" spans="1:6">
      <c r="A26" s="3">
        <v>22</v>
      </c>
      <c r="B26" s="4" t="s">
        <v>29</v>
      </c>
      <c r="C26" s="17">
        <v>0</v>
      </c>
      <c r="D26" s="20">
        <v>0</v>
      </c>
      <c r="E26" s="17">
        <v>0.666666666666667</v>
      </c>
      <c r="F26" s="20">
        <v>0.5</v>
      </c>
    </row>
    <row r="27" customHeight="1" spans="1:6">
      <c r="A27" s="3">
        <v>23</v>
      </c>
      <c r="B27" s="4" t="s">
        <v>30</v>
      </c>
      <c r="C27" s="17">
        <v>-0.666666666666667</v>
      </c>
      <c r="D27" s="20">
        <v>0</v>
      </c>
      <c r="E27" s="17">
        <v>0</v>
      </c>
      <c r="F27" s="20">
        <v>0</v>
      </c>
    </row>
    <row r="28" customHeight="1" spans="1:6">
      <c r="A28" s="3">
        <v>24</v>
      </c>
      <c r="B28" s="4" t="s">
        <v>31</v>
      </c>
      <c r="C28" s="17">
        <v>-1</v>
      </c>
      <c r="D28" s="20">
        <v>0</v>
      </c>
      <c r="E28" s="17">
        <v>0</v>
      </c>
      <c r="F28" s="20">
        <v>0.5</v>
      </c>
    </row>
    <row r="29" customHeight="1" spans="1:6">
      <c r="A29" s="3">
        <v>25</v>
      </c>
      <c r="B29" s="4" t="s">
        <v>32</v>
      </c>
      <c r="C29" s="17">
        <v>1</v>
      </c>
      <c r="D29" s="20">
        <v>1</v>
      </c>
      <c r="E29" s="17">
        <v>1</v>
      </c>
      <c r="F29" s="20">
        <v>1</v>
      </c>
    </row>
    <row r="30" customHeight="1" spans="1:6">
      <c r="A30" s="3">
        <v>26</v>
      </c>
      <c r="B30" s="4" t="s">
        <v>33</v>
      </c>
      <c r="C30" s="17">
        <v>1</v>
      </c>
      <c r="D30" s="20">
        <v>1</v>
      </c>
      <c r="E30" s="17">
        <v>0.666666666666667</v>
      </c>
      <c r="F30" s="20">
        <v>0.5</v>
      </c>
    </row>
    <row r="31" customHeight="1" spans="1:6">
      <c r="A31" s="3">
        <v>27</v>
      </c>
      <c r="B31" s="4" t="s">
        <v>34</v>
      </c>
      <c r="C31" s="17">
        <v>0.666666666666667</v>
      </c>
      <c r="D31" s="20">
        <v>0.5</v>
      </c>
      <c r="E31" s="17">
        <v>1</v>
      </c>
      <c r="F31" s="20">
        <v>1</v>
      </c>
    </row>
    <row r="32" customHeight="1" spans="1:6">
      <c r="A32" s="3">
        <v>28</v>
      </c>
      <c r="B32" s="4" t="s">
        <v>35</v>
      </c>
      <c r="C32" s="17">
        <v>1</v>
      </c>
      <c r="D32" s="20">
        <v>1</v>
      </c>
      <c r="E32" s="17">
        <v>1</v>
      </c>
      <c r="F32" s="20">
        <v>1</v>
      </c>
    </row>
    <row r="33" customHeight="1" spans="1:6">
      <c r="A33" s="3">
        <v>29</v>
      </c>
      <c r="B33" s="4" t="s">
        <v>36</v>
      </c>
      <c r="C33" s="17">
        <v>0</v>
      </c>
      <c r="D33" s="20">
        <v>0.5</v>
      </c>
      <c r="E33" s="17">
        <v>0.666666666666667</v>
      </c>
      <c r="F33" s="20">
        <v>0.5</v>
      </c>
    </row>
    <row r="34" customHeight="1" spans="1:6">
      <c r="A34" s="3">
        <v>30</v>
      </c>
      <c r="B34" s="4" t="s">
        <v>37</v>
      </c>
      <c r="C34" s="17">
        <v>1</v>
      </c>
      <c r="D34" s="20">
        <v>1</v>
      </c>
      <c r="E34" s="17">
        <v>1</v>
      </c>
      <c r="F34" s="20">
        <v>1</v>
      </c>
    </row>
    <row r="35" customHeight="1" spans="1:6">
      <c r="A35" s="7"/>
      <c r="B35" s="8" t="s">
        <v>38</v>
      </c>
      <c r="C35" s="18">
        <f>IFERROR(AVERAGE(C5,C6,C7,C8,C9,C10),"N/A")</f>
        <v>0</v>
      </c>
      <c r="D35" s="21">
        <f>IFERROR(AVERAGE(D5,D6,D7,D8,D9,D10),"N/A")</f>
        <v>0.5</v>
      </c>
      <c r="E35" s="18">
        <f>IFERROR(AVERAGE(E5,E6,E7,E8,E9,E10),"N/A")</f>
        <v>0.722222222222222</v>
      </c>
      <c r="F35" s="21">
        <f>IFERROR(AVERAGE(F5,F6,F7,F8,F9,F10),"N/A")</f>
        <v>0.75</v>
      </c>
    </row>
    <row r="36" customHeight="1" spans="1:6">
      <c r="A36" s="7"/>
      <c r="B36" s="8" t="s">
        <v>39</v>
      </c>
      <c r="C36" s="18">
        <f>IFERROR(AVERAGE(C11,C12,C13,C14,C15,C16),"N/A")</f>
        <v>0.611111111111111</v>
      </c>
      <c r="D36" s="21">
        <f>IFERROR(AVERAGE(D11,D12,D13,D14,D15,D16),"N/A")</f>
        <v>0.583333333333333</v>
      </c>
      <c r="E36" s="18">
        <f>IFERROR(AVERAGE(E11,E12,E13,E14,E15,E16),"N/A")</f>
        <v>0.666666666666667</v>
      </c>
      <c r="F36" s="21">
        <f>IFERROR(AVERAGE(F11,F12,F13,F14,F15,F16),"N/A")</f>
        <v>0.666666666666667</v>
      </c>
    </row>
    <row r="37" customHeight="1" spans="1:6">
      <c r="A37" s="7"/>
      <c r="B37" s="8" t="s">
        <v>40</v>
      </c>
      <c r="C37" s="18">
        <f>IFERROR(AVERAGE(C17,C18,C19,C20,C21,C22),"N/A")</f>
        <v>0.444444444444444</v>
      </c>
      <c r="D37" s="21">
        <f>IFERROR(AVERAGE(D17,D18,D19,D20,D21,D22),"N/A")</f>
        <v>0.5</v>
      </c>
      <c r="E37" s="18">
        <f>IFERROR(AVERAGE(E17,E18,E19,E20,E21,E22),"N/A")</f>
        <v>0.444444444444444</v>
      </c>
      <c r="F37" s="21">
        <f>IFERROR(AVERAGE(F17,F18,F19,F20,F21,F22),"N/A")</f>
        <v>0.5</v>
      </c>
    </row>
    <row r="38" customHeight="1" spans="1:6">
      <c r="A38" s="7"/>
      <c r="B38" s="8" t="s">
        <v>41</v>
      </c>
      <c r="C38" s="18">
        <f>IFERROR(AVERAGE(C23,C24,C25,C26,C27,C28),"N/A")</f>
        <v>-0.166666666666667</v>
      </c>
      <c r="D38" s="21">
        <f>IFERROR(AVERAGE(D23,D24,D25,D26,D27,D28),"N/A")</f>
        <v>0.25</v>
      </c>
      <c r="E38" s="18">
        <f>IFERROR(AVERAGE(E23,E24,E25,E26,E27,E28),"N/A")</f>
        <v>0.5</v>
      </c>
      <c r="F38" s="21">
        <f>IFERROR(AVERAGE(F23,F24,F25,F26,F27,F28),"N/A")</f>
        <v>0.5</v>
      </c>
    </row>
    <row r="39" customHeight="1" spans="1:6">
      <c r="A39" s="7"/>
      <c r="B39" s="8" t="s">
        <v>42</v>
      </c>
      <c r="C39" s="18">
        <f>IFERROR(AVERAGE(C29,C30,C31,C32,C33,C34),"N/A")</f>
        <v>0.777777777777778</v>
      </c>
      <c r="D39" s="21">
        <f>IFERROR(AVERAGE(D29,D30,D31,D32,D33,D34),"N/A")</f>
        <v>0.833333333333333</v>
      </c>
      <c r="E39" s="18">
        <f>IFERROR(AVERAGE(E29,E30,E31,E32,E33,E34),"N/A")</f>
        <v>0.888888888888889</v>
      </c>
      <c r="F39" s="21">
        <f>IFERROR(AVERAGE(F29,F30,F31,F32,F33,F34),"N/A")</f>
        <v>0.833333333333333</v>
      </c>
    </row>
    <row r="40" customHeight="1" spans="1:6">
      <c r="A40" s="7"/>
      <c r="B40" s="8" t="s">
        <v>43</v>
      </c>
      <c r="C40" s="18">
        <f>IFERROR(AVERAGE(C5,C6,C11,C12,C17,C18,C23,C24,C29,C30),"N/A")</f>
        <v>0.62962962962963</v>
      </c>
      <c r="D40" s="21">
        <f>IFERROR(AVERAGE(D5,D6,D11,D12,D17,D18,D23,D24,D29,D30),"N/A")</f>
        <v>0.7</v>
      </c>
      <c r="E40" s="18">
        <f>IFERROR(AVERAGE(E5,E6,E11,E12,E17,E18,E23,E24,E29,E30),"N/A")</f>
        <v>0.666666666666667</v>
      </c>
      <c r="F40" s="21">
        <f>IFERROR(AVERAGE(F5,F6,F11,F12,F17,F18,F23,F24,F29,F30),"N/A")</f>
        <v>0.6</v>
      </c>
    </row>
    <row r="41" customHeight="1" spans="1:6">
      <c r="A41" s="7"/>
      <c r="B41" s="8" t="s">
        <v>44</v>
      </c>
      <c r="C41" s="18">
        <f>IFERROR(AVERAGE(C7,C8,C13,C14,C19,C20,C25,C26,C31,C32),"N/A")</f>
        <v>0.366666666666667</v>
      </c>
      <c r="D41" s="21">
        <f>IFERROR(AVERAGE(D7,D8,D13,D14,D19,D20,D25,D26,D31,D32),"N/A")</f>
        <v>0.5</v>
      </c>
      <c r="E41" s="18">
        <f>IFERROR(AVERAGE(E7,E8,E13,E14,E19,E20,E25,E26,E31,E32),"N/A")</f>
        <v>0.8</v>
      </c>
      <c r="F41" s="21">
        <f>IFERROR(AVERAGE(F7,F8,F13,F14,F19,F20,F25,F26,F31,F32),"N/A")</f>
        <v>0.8</v>
      </c>
    </row>
    <row r="42" customHeight="1" spans="1:6">
      <c r="A42" s="7"/>
      <c r="B42" s="8" t="s">
        <v>45</v>
      </c>
      <c r="C42" s="18">
        <f>IFERROR(AVERAGE(C9,C10,C15,C16,C21,C22,C27,C28,C33,C34),"N/A")</f>
        <v>0.0666666666666667</v>
      </c>
      <c r="D42" s="21">
        <f>IFERROR(AVERAGE(D9,D10,D15,D16,D21,D22,D27,D28,D33,D34),"N/A")</f>
        <v>0.4</v>
      </c>
      <c r="E42" s="18">
        <f>IFERROR(AVERAGE(E9,E10,E15,E16,E21,E22,E27,E28,E33,E34),"N/A")</f>
        <v>0.466666666666667</v>
      </c>
      <c r="F42" s="21">
        <f>IFERROR(AVERAGE(F9,F10,F15,F16,F21,F22,F27,F28,F33,F34),"N/A")</f>
        <v>0.55</v>
      </c>
    </row>
    <row r="43" customHeight="1" spans="1:6">
      <c r="A43" s="11"/>
      <c r="B43" s="12" t="s">
        <v>46</v>
      </c>
      <c r="C43" s="19">
        <f>IFERROR(AVERAGE(C5,C6,C7,C8,C9,C10,C11,C12,C13,C14,C15,C16,C17,C18,C19,C20,C21,C22,C23,C24,C25,C26,C27,C28,C29,C30,C31,C32,C33,C34),"N/A")</f>
        <v>0.344827586206897</v>
      </c>
      <c r="D43" s="22">
        <f>IFERROR(AVERAGE(D5,D6,D7,D8,D9,D10,D11,D12,D13,D14,D15,D16,D17,D18,D19,D20,D21,D22,D23,D24,D25,D26,D27,D28,D29,D30,D31,D32,D33,D34),"N/A")</f>
        <v>0.533333333333333</v>
      </c>
      <c r="E43" s="19">
        <f>IFERROR(AVERAGE(E5,E6,E7,E8,E9,E10,E11,E12,E13,E14,E15,E16,E17,E18,E19,E20,E21,E22,E23,E24,E25,E26,E27,E28,E29,E30,E31,E32,E33,E34),"N/A")</f>
        <v>0.644444444444444</v>
      </c>
      <c r="F43" s="22">
        <f>IFERROR(AVERAGE(F5,F6,F7,F8,F9,F10,F11,F12,F13,F14,F15,F16,F17,F18,F19,F20,F21,F22,F23,F24,F25,F26,F27,F28,F29,F30,F31,F32,F33,F34),"N/A")</f>
        <v>0.65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workbookViewId="0">
      <pane ySplit="4" topLeftCell="A17" activePane="bottomLeft" state="frozen"/>
      <selection/>
      <selection pane="bottomLeft" activeCell="B19" sqref="B19"/>
    </sheetView>
  </sheetViews>
  <sheetFormatPr defaultColWidth="9" defaultRowHeight="14" customHeight="1" outlineLevelCol="5"/>
  <cols>
    <col min="1" max="1" width="6" customWidth="1"/>
    <col min="2" max="2" width="70" customWidth="1"/>
    <col min="3" max="4" width="20" customWidth="1"/>
    <col min="5" max="5" width="20" style="15" customWidth="1"/>
    <col min="6" max="6" width="20" customWidth="1"/>
  </cols>
  <sheetData>
    <row r="2" customHeight="1" spans="1:6">
      <c r="A2" s="1" t="s">
        <v>52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16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1</v>
      </c>
      <c r="D5" s="6">
        <v>1</v>
      </c>
      <c r="E5" s="17">
        <v>0.2</v>
      </c>
      <c r="F5" s="6">
        <v>0.5</v>
      </c>
    </row>
    <row r="6" customHeight="1" spans="1:6">
      <c r="A6" s="3">
        <v>2</v>
      </c>
      <c r="B6" s="4" t="s">
        <v>8</v>
      </c>
      <c r="C6" s="5">
        <v>0.75</v>
      </c>
      <c r="D6" s="6">
        <v>0.75</v>
      </c>
      <c r="E6" s="17">
        <v>0.1</v>
      </c>
      <c r="F6" s="6">
        <v>0.25</v>
      </c>
    </row>
    <row r="7" customHeight="1" spans="1:6">
      <c r="A7" s="3">
        <v>3</v>
      </c>
      <c r="B7" s="4" t="s">
        <v>10</v>
      </c>
      <c r="C7" s="5">
        <v>0.555555555555556</v>
      </c>
      <c r="D7" s="6">
        <v>0.5</v>
      </c>
      <c r="E7" s="17">
        <v>0.2</v>
      </c>
      <c r="F7" s="6">
        <v>0.5</v>
      </c>
    </row>
    <row r="8" customHeight="1" spans="1:6">
      <c r="A8" s="3">
        <v>4</v>
      </c>
      <c r="B8" s="4" t="s">
        <v>11</v>
      </c>
      <c r="C8" s="5">
        <v>1</v>
      </c>
      <c r="D8" s="6">
        <v>1</v>
      </c>
      <c r="E8" s="17">
        <v>0.2</v>
      </c>
      <c r="F8" s="6">
        <v>0.5</v>
      </c>
    </row>
    <row r="9" customHeight="1" spans="1:6">
      <c r="A9" s="3">
        <v>5</v>
      </c>
      <c r="B9" s="4" t="s">
        <v>12</v>
      </c>
      <c r="C9" s="5">
        <v>1</v>
      </c>
      <c r="D9" s="6">
        <v>1</v>
      </c>
      <c r="E9" s="17">
        <v>0.2</v>
      </c>
      <c r="F9" s="6">
        <v>0.5</v>
      </c>
    </row>
    <row r="10" customHeight="1" spans="1:6">
      <c r="A10" s="3">
        <v>6</v>
      </c>
      <c r="B10" s="4" t="s">
        <v>13</v>
      </c>
      <c r="C10" s="5">
        <v>0.75</v>
      </c>
      <c r="D10" s="6">
        <v>0.75</v>
      </c>
      <c r="E10" s="17">
        <v>0.1</v>
      </c>
      <c r="F10" s="6">
        <v>0.25</v>
      </c>
    </row>
    <row r="11" customHeight="1" spans="1:6">
      <c r="A11" s="3">
        <v>7</v>
      </c>
      <c r="B11" s="4" t="s">
        <v>14</v>
      </c>
      <c r="C11" s="5">
        <v>0.5</v>
      </c>
      <c r="D11" s="6">
        <v>0.75</v>
      </c>
      <c r="E11" s="17">
        <v>0.125</v>
      </c>
      <c r="F11" s="6">
        <v>0</v>
      </c>
    </row>
    <row r="12" customHeight="1" spans="1:6">
      <c r="A12" s="3">
        <v>8</v>
      </c>
      <c r="B12" s="4" t="s">
        <v>15</v>
      </c>
      <c r="C12" s="5">
        <v>0</v>
      </c>
      <c r="D12" s="6">
        <v>0.5</v>
      </c>
      <c r="E12" s="17">
        <v>-0.125</v>
      </c>
      <c r="F12" s="6">
        <v>0.25</v>
      </c>
    </row>
    <row r="13" customHeight="1" spans="1:6">
      <c r="A13" s="3">
        <v>9</v>
      </c>
      <c r="B13" s="4" t="s">
        <v>16</v>
      </c>
      <c r="C13" s="5">
        <v>0.5</v>
      </c>
      <c r="D13" s="6">
        <v>0.75</v>
      </c>
      <c r="E13" s="17">
        <v>0.1</v>
      </c>
      <c r="F13" s="6">
        <v>0.25</v>
      </c>
    </row>
    <row r="14" customHeight="1" spans="1:6">
      <c r="A14" s="3">
        <v>10</v>
      </c>
      <c r="B14" s="4" t="s">
        <v>17</v>
      </c>
      <c r="C14" s="5">
        <v>1</v>
      </c>
      <c r="D14" s="6">
        <v>1</v>
      </c>
      <c r="E14" s="17">
        <v>0</v>
      </c>
      <c r="F14" s="6">
        <v>0.5</v>
      </c>
    </row>
    <row r="15" customHeight="1" spans="1:6">
      <c r="A15" s="3">
        <v>11</v>
      </c>
      <c r="B15" s="4" t="s">
        <v>18</v>
      </c>
      <c r="C15" s="5">
        <v>0.111111111111111</v>
      </c>
      <c r="D15" s="6">
        <v>0.75</v>
      </c>
      <c r="E15" s="17">
        <v>0.1</v>
      </c>
      <c r="F15" s="6">
        <v>0.25</v>
      </c>
    </row>
    <row r="16" customHeight="1" spans="1:6">
      <c r="A16" s="3">
        <v>12</v>
      </c>
      <c r="B16" s="4" t="s">
        <v>19</v>
      </c>
      <c r="C16" s="5">
        <v>0.428571428571429</v>
      </c>
      <c r="D16" s="6">
        <v>0.5</v>
      </c>
      <c r="E16" s="17">
        <v>0</v>
      </c>
      <c r="F16" s="6">
        <v>0</v>
      </c>
    </row>
    <row r="17" customHeight="1" spans="1:6">
      <c r="A17" s="3">
        <v>13</v>
      </c>
      <c r="B17" s="4" t="s">
        <v>20</v>
      </c>
      <c r="C17" s="5">
        <v>0.2</v>
      </c>
      <c r="D17" s="6">
        <v>0.5</v>
      </c>
      <c r="E17" s="17">
        <v>0.2</v>
      </c>
      <c r="F17" s="6">
        <v>0.5</v>
      </c>
    </row>
    <row r="18" customHeight="1" spans="1:6">
      <c r="A18" s="3">
        <v>14</v>
      </c>
      <c r="B18" s="4" t="s">
        <v>21</v>
      </c>
      <c r="C18" s="5">
        <v>-0.6</v>
      </c>
      <c r="D18" s="6">
        <v>0.75</v>
      </c>
      <c r="E18" s="17">
        <v>0.2</v>
      </c>
      <c r="F18" s="6">
        <v>0.5</v>
      </c>
    </row>
    <row r="19" customHeight="1" spans="1:6">
      <c r="A19" s="3">
        <v>15</v>
      </c>
      <c r="B19" s="4" t="s">
        <v>22</v>
      </c>
      <c r="C19" s="5">
        <v>-0.333333333333333</v>
      </c>
      <c r="D19" s="6">
        <v>0.5</v>
      </c>
      <c r="E19" s="17">
        <v>-0.0909090909090908</v>
      </c>
      <c r="F19" s="6">
        <v>0.25</v>
      </c>
    </row>
    <row r="20" customHeight="1" spans="1:6">
      <c r="A20" s="3">
        <v>16</v>
      </c>
      <c r="B20" s="4" t="s">
        <v>23</v>
      </c>
      <c r="C20" s="5">
        <v>0.5</v>
      </c>
      <c r="D20" s="6">
        <v>0.75</v>
      </c>
      <c r="E20" s="17">
        <v>0</v>
      </c>
      <c r="F20" s="6">
        <v>0.5</v>
      </c>
    </row>
    <row r="21" customHeight="1" spans="1:6">
      <c r="A21" s="3">
        <v>17</v>
      </c>
      <c r="B21" s="4" t="s">
        <v>24</v>
      </c>
      <c r="C21" s="5">
        <v>0</v>
      </c>
      <c r="D21" s="6">
        <v>0.5</v>
      </c>
      <c r="E21" s="17">
        <v>0.125</v>
      </c>
      <c r="F21" s="6">
        <v>0</v>
      </c>
    </row>
    <row r="22" customHeight="1" spans="1:6">
      <c r="A22" s="3">
        <v>18</v>
      </c>
      <c r="B22" s="4" t="s">
        <v>25</v>
      </c>
      <c r="C22" s="5">
        <v>0</v>
      </c>
      <c r="D22" s="6">
        <v>0.75</v>
      </c>
      <c r="E22" s="17" t="s">
        <v>9</v>
      </c>
      <c r="F22" s="6">
        <v>1</v>
      </c>
    </row>
    <row r="23" customHeight="1" spans="1:6">
      <c r="A23" s="3">
        <v>19</v>
      </c>
      <c r="B23" s="4" t="s">
        <v>26</v>
      </c>
      <c r="C23" s="5">
        <v>0.636363636363636</v>
      </c>
      <c r="D23" s="6">
        <v>0.5</v>
      </c>
      <c r="E23" s="17">
        <v>0</v>
      </c>
      <c r="F23" s="6">
        <v>0.5</v>
      </c>
    </row>
    <row r="24" customHeight="1" spans="1:6">
      <c r="A24" s="3">
        <v>20</v>
      </c>
      <c r="B24" s="4" t="s">
        <v>27</v>
      </c>
      <c r="C24" s="5">
        <v>1</v>
      </c>
      <c r="D24" s="6">
        <v>1</v>
      </c>
      <c r="E24" s="17">
        <v>0.375</v>
      </c>
      <c r="F24" s="6">
        <v>0.5</v>
      </c>
    </row>
    <row r="25" customHeight="1" spans="1:6">
      <c r="A25" s="3">
        <v>21</v>
      </c>
      <c r="B25" s="4" t="s">
        <v>28</v>
      </c>
      <c r="C25" s="5">
        <v>0.8</v>
      </c>
      <c r="D25" s="6">
        <v>0.75</v>
      </c>
      <c r="E25" s="17">
        <v>-0.0666666666666667</v>
      </c>
      <c r="F25" s="6">
        <v>0.5</v>
      </c>
    </row>
    <row r="26" customHeight="1" spans="1:6">
      <c r="A26" s="3">
        <v>22</v>
      </c>
      <c r="B26" s="4" t="s">
        <v>29</v>
      </c>
      <c r="C26" s="5">
        <v>0.833333333333333</v>
      </c>
      <c r="D26" s="6">
        <v>0.75</v>
      </c>
      <c r="E26" s="17">
        <v>-0.125</v>
      </c>
      <c r="F26" s="6">
        <v>0.25</v>
      </c>
    </row>
    <row r="27" customHeight="1" spans="1:6">
      <c r="A27" s="3">
        <v>23</v>
      </c>
      <c r="B27" s="4" t="s">
        <v>30</v>
      </c>
      <c r="C27" s="5">
        <v>1</v>
      </c>
      <c r="D27" s="6">
        <v>1</v>
      </c>
      <c r="E27" s="17">
        <v>0</v>
      </c>
      <c r="F27" s="6">
        <v>0.5</v>
      </c>
    </row>
    <row r="28" customHeight="1" spans="1:6">
      <c r="A28" s="3">
        <v>24</v>
      </c>
      <c r="B28" s="4" t="s">
        <v>31</v>
      </c>
      <c r="C28" s="5">
        <v>1</v>
      </c>
      <c r="D28" s="6">
        <v>1</v>
      </c>
      <c r="E28" s="17">
        <v>0.1</v>
      </c>
      <c r="F28" s="6">
        <v>0.25</v>
      </c>
    </row>
    <row r="29" customHeight="1" spans="1:6">
      <c r="A29" s="3">
        <v>25</v>
      </c>
      <c r="B29" s="4" t="s">
        <v>32</v>
      </c>
      <c r="C29" s="5">
        <v>0.833333333333333</v>
      </c>
      <c r="D29" s="6">
        <v>0.75</v>
      </c>
      <c r="E29" s="17">
        <v>0.375</v>
      </c>
      <c r="F29" s="6">
        <v>0.5</v>
      </c>
    </row>
    <row r="30" customHeight="1" spans="1:6">
      <c r="A30" s="3">
        <v>26</v>
      </c>
      <c r="B30" s="4" t="s">
        <v>33</v>
      </c>
      <c r="C30" s="5">
        <v>0.0769230769230769</v>
      </c>
      <c r="D30" s="6">
        <v>0.25</v>
      </c>
      <c r="E30" s="17">
        <v>0.555555555555556</v>
      </c>
      <c r="F30" s="6">
        <v>0.5</v>
      </c>
    </row>
    <row r="31" customHeight="1" spans="1:6">
      <c r="A31" s="3">
        <v>27</v>
      </c>
      <c r="B31" s="4" t="s">
        <v>34</v>
      </c>
      <c r="C31" s="5">
        <v>1</v>
      </c>
      <c r="D31" s="6">
        <v>1</v>
      </c>
      <c r="E31" s="17">
        <v>0.2</v>
      </c>
      <c r="F31" s="6">
        <v>0.5</v>
      </c>
    </row>
    <row r="32" customHeight="1" spans="1:6">
      <c r="A32" s="3">
        <v>28</v>
      </c>
      <c r="B32" s="4" t="s">
        <v>35</v>
      </c>
      <c r="C32" s="5">
        <v>1</v>
      </c>
      <c r="D32" s="6">
        <v>1</v>
      </c>
      <c r="E32" s="17">
        <v>0.5</v>
      </c>
      <c r="F32" s="6">
        <v>0.75</v>
      </c>
    </row>
    <row r="33" customHeight="1" spans="1:6">
      <c r="A33" s="3">
        <v>29</v>
      </c>
      <c r="B33" s="4" t="s">
        <v>36</v>
      </c>
      <c r="C33" s="5">
        <v>0.75</v>
      </c>
      <c r="D33" s="6">
        <v>0.75</v>
      </c>
      <c r="E33" s="17">
        <v>0.285714285714286</v>
      </c>
      <c r="F33" s="6">
        <v>0.5</v>
      </c>
    </row>
    <row r="34" customHeight="1" spans="1:6">
      <c r="A34" s="3">
        <v>30</v>
      </c>
      <c r="B34" s="4" t="s">
        <v>37</v>
      </c>
      <c r="C34" s="5">
        <v>0</v>
      </c>
      <c r="D34" s="6">
        <v>0.25</v>
      </c>
      <c r="E34" s="17">
        <v>0</v>
      </c>
      <c r="F34" s="6">
        <v>0.25</v>
      </c>
    </row>
    <row r="35" customHeight="1" spans="1:6">
      <c r="A35" s="7"/>
      <c r="B35" s="8" t="s">
        <v>38</v>
      </c>
      <c r="C35" s="9">
        <f>IFERROR(AVERAGE(C5,C6,C7,C8,C9,C10),"N/A")</f>
        <v>0.842592592592593</v>
      </c>
      <c r="D35" s="10">
        <f>IFERROR(AVERAGE(D5,D6,D7,D8,D9,D10),"N/A")</f>
        <v>0.833333333333333</v>
      </c>
      <c r="E35" s="18">
        <f>IFERROR(AVERAGE(E5,E6,E7,E8,E9,E10),"N/A")</f>
        <v>0.166666666666667</v>
      </c>
      <c r="F35" s="10">
        <f>IFERROR(AVERAGE(F5,F6,F7,F8,F9,F10),"N/A")</f>
        <v>0.416666666666667</v>
      </c>
    </row>
    <row r="36" customHeight="1" spans="1:6">
      <c r="A36" s="7"/>
      <c r="B36" s="8" t="s">
        <v>39</v>
      </c>
      <c r="C36" s="9">
        <f>IFERROR(AVERAGE(C11,C12,C13,C14,C15,C16),"N/A")</f>
        <v>0.423280423280423</v>
      </c>
      <c r="D36" s="10">
        <f>IFERROR(AVERAGE(D11,D12,D13,D14,D15,D16),"N/A")</f>
        <v>0.708333333333333</v>
      </c>
      <c r="E36" s="18">
        <f>IFERROR(AVERAGE(E11,E12,E13,E14,E15,E16),"N/A")</f>
        <v>0.0333333333333333</v>
      </c>
      <c r="F36" s="10">
        <f>IFERROR(AVERAGE(F11,F12,F13,F14,F15,F16),"N/A")</f>
        <v>0.208333333333333</v>
      </c>
    </row>
    <row r="37" customHeight="1" spans="1:6">
      <c r="A37" s="7"/>
      <c r="B37" s="8" t="s">
        <v>40</v>
      </c>
      <c r="C37" s="9">
        <f>IFERROR(AVERAGE(C17,C18,C19,C20,C21,C22),"N/A")</f>
        <v>-0.0388888888888889</v>
      </c>
      <c r="D37" s="10">
        <f>IFERROR(AVERAGE(D17,D18,D19,D20,D21,D22),"N/A")</f>
        <v>0.625</v>
      </c>
      <c r="E37" s="18">
        <f>IFERROR(AVERAGE(E17,E18,E19,E20,E21,E22),"N/A")</f>
        <v>0.0868181818181818</v>
      </c>
      <c r="F37" s="10">
        <f>IFERROR(AVERAGE(F17,F18,F19,F20,F21,F22),"N/A")</f>
        <v>0.458333333333333</v>
      </c>
    </row>
    <row r="38" customHeight="1" spans="1:6">
      <c r="A38" s="7"/>
      <c r="B38" s="8" t="s">
        <v>41</v>
      </c>
      <c r="C38" s="9">
        <f>IFERROR(AVERAGE(C23,C24,C25,C26,C27,C28),"N/A")</f>
        <v>0.878282828282828</v>
      </c>
      <c r="D38" s="10">
        <f>IFERROR(AVERAGE(D23,D24,D25,D26,D27,D28),"N/A")</f>
        <v>0.833333333333333</v>
      </c>
      <c r="E38" s="18">
        <f>IFERROR(AVERAGE(E23,E24,E25,E26,E27,E28),"N/A")</f>
        <v>0.0472222222222222</v>
      </c>
      <c r="F38" s="10">
        <f>IFERROR(AVERAGE(F23,F24,F25,F26,F27,F28),"N/A")</f>
        <v>0.416666666666667</v>
      </c>
    </row>
    <row r="39" customHeight="1" spans="1:6">
      <c r="A39" s="7"/>
      <c r="B39" s="8" t="s">
        <v>42</v>
      </c>
      <c r="C39" s="9">
        <f>IFERROR(AVERAGE(C29,C30,C31,C32,C33,C34),"N/A")</f>
        <v>0.610042735042735</v>
      </c>
      <c r="D39" s="10">
        <f>IFERROR(AVERAGE(D29,D30,D31,D32,D33,D34),"N/A")</f>
        <v>0.666666666666667</v>
      </c>
      <c r="E39" s="18">
        <f>IFERROR(AVERAGE(E29,E30,E31,E32,E33,E34),"N/A")</f>
        <v>0.319378306878307</v>
      </c>
      <c r="F39" s="10">
        <f>IFERROR(AVERAGE(F29,F30,F31,F32,F33,F34),"N/A")</f>
        <v>0.5</v>
      </c>
    </row>
    <row r="40" customHeight="1" spans="1:6">
      <c r="A40" s="7"/>
      <c r="B40" s="8" t="s">
        <v>43</v>
      </c>
      <c r="C40" s="9">
        <f>IFERROR(AVERAGE(C5,C6,C11,C12,C17,C18,C23,C24,C29,C30),"N/A")</f>
        <v>0.439662004662005</v>
      </c>
      <c r="D40" s="10">
        <f>IFERROR(AVERAGE(D5,D6,D11,D12,D17,D18,D23,D24,D29,D30),"N/A")</f>
        <v>0.675</v>
      </c>
      <c r="E40" s="18">
        <f>IFERROR(AVERAGE(E5,E6,E11,E12,E17,E18,E23,E24,E29,E30),"N/A")</f>
        <v>0.200555555555556</v>
      </c>
      <c r="F40" s="10">
        <f>IFERROR(AVERAGE(F5,F6,F11,F12,F17,F18,F23,F24,F29,F30),"N/A")</f>
        <v>0.4</v>
      </c>
    </row>
    <row r="41" customHeight="1" spans="1:6">
      <c r="A41" s="7"/>
      <c r="B41" s="8" t="s">
        <v>44</v>
      </c>
      <c r="C41" s="9">
        <f>IFERROR(AVERAGE(C7,C8,C13,C14,C19,C20,C25,C26,C31,C32),"N/A")</f>
        <v>0.685555555555555</v>
      </c>
      <c r="D41" s="10">
        <f>IFERROR(AVERAGE(D7,D8,D13,D14,D19,D20,D25,D26,D31,D32),"N/A")</f>
        <v>0.8</v>
      </c>
      <c r="E41" s="18">
        <f>IFERROR(AVERAGE(E7,E8,E13,E14,E19,E20,E25,E26,E31,E32),"N/A")</f>
        <v>0.0917424242424242</v>
      </c>
      <c r="F41" s="10">
        <f>IFERROR(AVERAGE(F7,F8,F13,F14,F19,F20,F25,F26,F31,F32),"N/A")</f>
        <v>0.45</v>
      </c>
    </row>
    <row r="42" customHeight="1" spans="1:6">
      <c r="A42" s="7"/>
      <c r="B42" s="8" t="s">
        <v>45</v>
      </c>
      <c r="C42" s="9">
        <f>IFERROR(AVERAGE(C9,C10,C15,C16,C21,C22,C27,C28,C33,C34),"N/A")</f>
        <v>0.503968253968254</v>
      </c>
      <c r="D42" s="10">
        <f>IFERROR(AVERAGE(D9,D10,D15,D16,D21,D22,D27,D28,D33,D34),"N/A")</f>
        <v>0.725</v>
      </c>
      <c r="E42" s="18">
        <f>IFERROR(AVERAGE(E9,E10,E15,E16,E21,E22,E27,E28,E33,E34),"N/A")</f>
        <v>0.101190476190476</v>
      </c>
      <c r="F42" s="10">
        <f>IFERROR(AVERAGE(F9,F10,F15,F16,F21,F22,F27,F28,F33,F34),"N/A")</f>
        <v>0.35</v>
      </c>
    </row>
    <row r="43" customHeight="1" spans="1:6">
      <c r="A43" s="11"/>
      <c r="B43" s="12" t="s">
        <v>46</v>
      </c>
      <c r="C43" s="13">
        <f>IFERROR(AVERAGE(C5,C6,C7,C8,C9,C10,C11,C12,C13,C14,C15,C16,C17,C18,C19,C20,C21,C22,C23,C24,C25,C26,C27,C28,C29,C30,C31,C32,C33,C34),"N/A")</f>
        <v>0.543061938061938</v>
      </c>
      <c r="D43" s="14">
        <f>IFERROR(AVERAGE(D5,D6,D7,D8,D9,D10,D11,D12,D13,D14,D15,D16,D17,D18,D19,D20,D21,D22,D23,D24,D25,D26,D27,D28,D29,D30,D31,D32,D33,D34),"N/A")</f>
        <v>0.733333333333333</v>
      </c>
      <c r="E43" s="19">
        <f>IFERROR(AVERAGE(E5,E6,E7,E8,E9,E10,E11,E12,E13,E14,E15,E16,E17,E18,E19,E20,E21,E22,E23,E24,E25,E26,E27,E28,E29,E30,E31,E32,E33,E34),"N/A")</f>
        <v>0.132196347713589</v>
      </c>
      <c r="F43" s="14">
        <f>IFERROR(AVERAGE(F5,F6,F7,F8,F9,F10,F11,F12,F13,F14,F15,F16,F17,F18,F19,F20,F21,F22,F23,F24,F25,F26,F27,F28,F29,F30,F31,F32,F33,F34),"N/A")</f>
        <v>0.4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workbookViewId="0">
      <pane ySplit="4" topLeftCell="A8" activePane="bottomLeft" state="frozen"/>
      <selection/>
      <selection pane="bottomLeft" activeCell="B24" sqref="B24"/>
    </sheetView>
  </sheetViews>
  <sheetFormatPr defaultColWidth="9" defaultRowHeight="14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53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0.785100286532951</v>
      </c>
      <c r="D5" s="6">
        <v>0.666666666666667</v>
      </c>
      <c r="E5" s="5">
        <v>0.421364985163205</v>
      </c>
      <c r="F5" s="6">
        <v>0.533333333333333</v>
      </c>
    </row>
    <row r="6" customHeight="1" spans="1:6">
      <c r="A6" s="3">
        <v>2</v>
      </c>
      <c r="B6" s="4" t="s">
        <v>8</v>
      </c>
      <c r="C6" s="5">
        <v>0.742268041237113</v>
      </c>
      <c r="D6" s="6">
        <v>0.666666666666667</v>
      </c>
      <c r="E6" s="5">
        <v>0.482758620689655</v>
      </c>
      <c r="F6" s="6">
        <v>0.6</v>
      </c>
    </row>
    <row r="7" customHeight="1" spans="1:6">
      <c r="A7" s="3">
        <v>3</v>
      </c>
      <c r="B7" s="4" t="s">
        <v>10</v>
      </c>
      <c r="C7" s="5">
        <v>0.888888888888889</v>
      </c>
      <c r="D7" s="6">
        <v>0.8</v>
      </c>
      <c r="E7" s="5">
        <v>0.580152671755725</v>
      </c>
      <c r="F7" s="6">
        <v>0.666666666666667</v>
      </c>
    </row>
    <row r="8" customHeight="1" spans="1:6">
      <c r="A8" s="3">
        <v>4</v>
      </c>
      <c r="B8" s="4" t="s">
        <v>11</v>
      </c>
      <c r="C8" s="5">
        <v>0.825581395348837</v>
      </c>
      <c r="D8" s="6">
        <v>0.733333333333333</v>
      </c>
      <c r="E8" s="5">
        <v>0.387755102040816</v>
      </c>
      <c r="F8" s="6">
        <v>0.533333333333333</v>
      </c>
    </row>
    <row r="9" customHeight="1" spans="1:6">
      <c r="A9" s="3">
        <v>5</v>
      </c>
      <c r="B9" s="4" t="s">
        <v>12</v>
      </c>
      <c r="C9" s="5">
        <v>0.912280701754386</v>
      </c>
      <c r="D9" s="6">
        <v>0.866666666666667</v>
      </c>
      <c r="E9" s="5">
        <v>0.492753623188406</v>
      </c>
      <c r="F9" s="6">
        <v>0.666666666666667</v>
      </c>
    </row>
    <row r="10" customHeight="1" spans="1:6">
      <c r="A10" s="3">
        <v>6</v>
      </c>
      <c r="B10" s="4" t="s">
        <v>13</v>
      </c>
      <c r="C10" s="5">
        <v>0.741379310344828</v>
      </c>
      <c r="D10" s="6">
        <v>0.733333333333333</v>
      </c>
      <c r="E10" s="5">
        <v>0.289693593314763</v>
      </c>
      <c r="F10" s="6">
        <v>0.466666666666667</v>
      </c>
    </row>
    <row r="11" customHeight="1" spans="1:6">
      <c r="A11" s="3">
        <v>7</v>
      </c>
      <c r="B11" s="4" t="s">
        <v>14</v>
      </c>
      <c r="C11" s="5">
        <v>0.748603351955307</v>
      </c>
      <c r="D11" s="6">
        <v>0.6</v>
      </c>
      <c r="E11" s="5">
        <v>0.33420365535248</v>
      </c>
      <c r="F11" s="6">
        <v>0.466666666666667</v>
      </c>
    </row>
    <row r="12" customHeight="1" spans="1:6">
      <c r="A12" s="3">
        <v>8</v>
      </c>
      <c r="B12" s="4" t="s">
        <v>15</v>
      </c>
      <c r="C12" s="5">
        <v>0.542682926829268</v>
      </c>
      <c r="D12" s="6">
        <v>0.533333333333333</v>
      </c>
      <c r="E12" s="5">
        <v>0.360902255639098</v>
      </c>
      <c r="F12" s="6">
        <v>0.466666666666667</v>
      </c>
    </row>
    <row r="13" customHeight="1" spans="1:6">
      <c r="A13" s="3">
        <v>9</v>
      </c>
      <c r="B13" s="4" t="s">
        <v>16</v>
      </c>
      <c r="C13" s="5">
        <v>0.833333333333333</v>
      </c>
      <c r="D13" s="6">
        <v>0.733333333333333</v>
      </c>
      <c r="E13" s="5">
        <v>0.428571428571429</v>
      </c>
      <c r="F13" s="6">
        <v>0.533333333333333</v>
      </c>
    </row>
    <row r="14" customHeight="1" spans="1:6">
      <c r="A14" s="3">
        <v>10</v>
      </c>
      <c r="B14" s="4" t="s">
        <v>17</v>
      </c>
      <c r="C14" s="5">
        <v>0.842931937172775</v>
      </c>
      <c r="D14" s="6">
        <v>0.733333333333333</v>
      </c>
      <c r="E14" s="5">
        <v>0.408866995073892</v>
      </c>
      <c r="F14" s="6">
        <v>0.533333333333333</v>
      </c>
    </row>
    <row r="15" customHeight="1" spans="1:6">
      <c r="A15" s="3">
        <v>11</v>
      </c>
      <c r="B15" s="4" t="s">
        <v>18</v>
      </c>
      <c r="C15" s="5">
        <v>0.571428571428571</v>
      </c>
      <c r="D15" s="6">
        <v>0.8</v>
      </c>
      <c r="E15" s="5">
        <v>0.219178082191781</v>
      </c>
      <c r="F15" s="6">
        <v>0.533333333333333</v>
      </c>
    </row>
    <row r="16" customHeight="1" spans="1:6">
      <c r="A16" s="3">
        <v>12</v>
      </c>
      <c r="B16" s="4" t="s">
        <v>19</v>
      </c>
      <c r="C16" s="5">
        <v>0.0677966101694916</v>
      </c>
      <c r="D16" s="6">
        <v>0.666666666666667</v>
      </c>
      <c r="E16" s="5">
        <v>-0.0396039603960396</v>
      </c>
      <c r="F16" s="6">
        <v>0.4</v>
      </c>
    </row>
    <row r="17" customHeight="1" spans="1:6">
      <c r="A17" s="3">
        <v>13</v>
      </c>
      <c r="B17" s="4" t="s">
        <v>20</v>
      </c>
      <c r="C17" s="5">
        <v>0.958677685950413</v>
      </c>
      <c r="D17" s="6">
        <v>0.933333333333333</v>
      </c>
      <c r="E17" s="5">
        <v>0.715447154471545</v>
      </c>
      <c r="F17" s="6">
        <v>0.733333333333333</v>
      </c>
    </row>
    <row r="18" customHeight="1" spans="1:6">
      <c r="A18" s="3">
        <v>14</v>
      </c>
      <c r="B18" s="4" t="s">
        <v>21</v>
      </c>
      <c r="C18" s="5">
        <v>0.832402234636872</v>
      </c>
      <c r="D18" s="6">
        <v>0.733333333333333</v>
      </c>
      <c r="E18" s="5">
        <v>0.462809917355372</v>
      </c>
      <c r="F18" s="6">
        <v>0.533333333333333</v>
      </c>
    </row>
    <row r="19" customHeight="1" spans="1:6">
      <c r="A19" s="3">
        <v>15</v>
      </c>
      <c r="B19" s="4" t="s">
        <v>22</v>
      </c>
      <c r="C19" s="5">
        <v>0.785714285714286</v>
      </c>
      <c r="D19" s="6">
        <v>0.8</v>
      </c>
      <c r="E19" s="5">
        <v>0.530120481927711</v>
      </c>
      <c r="F19" s="6">
        <v>0.733333333333333</v>
      </c>
    </row>
    <row r="20" customHeight="1" spans="1:6">
      <c r="A20" s="3">
        <v>16</v>
      </c>
      <c r="B20" s="4" t="s">
        <v>23</v>
      </c>
      <c r="C20" s="5">
        <v>0.511278195488722</v>
      </c>
      <c r="D20" s="6">
        <v>0.533333333333333</v>
      </c>
      <c r="E20" s="5">
        <v>0.273504273504273</v>
      </c>
      <c r="F20" s="6">
        <v>0.466666666666667</v>
      </c>
    </row>
    <row r="21" customHeight="1" spans="1:6">
      <c r="A21" s="3">
        <v>17</v>
      </c>
      <c r="B21" s="4" t="s">
        <v>24</v>
      </c>
      <c r="C21" s="5">
        <v>0.636363636363636</v>
      </c>
      <c r="D21" s="6">
        <v>0.466666666666667</v>
      </c>
      <c r="E21" s="5">
        <v>0.296296296296296</v>
      </c>
      <c r="F21" s="6">
        <v>0.333333333333333</v>
      </c>
    </row>
    <row r="22" customHeight="1" spans="1:6">
      <c r="A22" s="3">
        <v>18</v>
      </c>
      <c r="B22" s="4" t="s">
        <v>25</v>
      </c>
      <c r="C22" s="5">
        <v>0.19953596287703</v>
      </c>
      <c r="D22" s="6">
        <v>0.466666666666667</v>
      </c>
      <c r="E22" s="5">
        <v>-0.0344827586206897</v>
      </c>
      <c r="F22" s="6">
        <v>0.4</v>
      </c>
    </row>
    <row r="23" customHeight="1" spans="1:6">
      <c r="A23" s="3">
        <v>19</v>
      </c>
      <c r="B23" s="4" t="s">
        <v>26</v>
      </c>
      <c r="C23" s="5">
        <v>0.824561403508772</v>
      </c>
      <c r="D23" s="6">
        <v>0.733333333333333</v>
      </c>
      <c r="E23" s="5">
        <v>0.573643410852713</v>
      </c>
      <c r="F23" s="6">
        <v>0.666666666666667</v>
      </c>
    </row>
    <row r="24" customHeight="1" spans="1:6">
      <c r="A24" s="3">
        <v>20</v>
      </c>
      <c r="B24" s="4" t="s">
        <v>27</v>
      </c>
      <c r="C24" s="5">
        <v>0.623655913978495</v>
      </c>
      <c r="D24" s="6">
        <v>0.533333333333333</v>
      </c>
      <c r="E24" s="5">
        <v>0.311926605504587</v>
      </c>
      <c r="F24" s="6">
        <v>0.4</v>
      </c>
    </row>
    <row r="25" customHeight="1" spans="1:6">
      <c r="A25" s="3">
        <v>21</v>
      </c>
      <c r="B25" s="4" t="s">
        <v>28</v>
      </c>
      <c r="C25" s="5">
        <v>0.740740740740741</v>
      </c>
      <c r="D25" s="6">
        <v>0.733333333333333</v>
      </c>
      <c r="E25" s="5">
        <v>0.460431654676259</v>
      </c>
      <c r="F25" s="6">
        <v>0.6</v>
      </c>
    </row>
    <row r="26" customHeight="1" spans="1:6">
      <c r="A26" s="3">
        <v>22</v>
      </c>
      <c r="B26" s="4" t="s">
        <v>29</v>
      </c>
      <c r="C26" s="5">
        <v>0.71042471042471</v>
      </c>
      <c r="D26" s="6">
        <v>0.666666666666667</v>
      </c>
      <c r="E26" s="5">
        <v>0.256559766763848</v>
      </c>
      <c r="F26" s="6">
        <v>0.466666666666667</v>
      </c>
    </row>
    <row r="27" customHeight="1" spans="1:6">
      <c r="A27" s="3">
        <v>23</v>
      </c>
      <c r="B27" s="4" t="s">
        <v>30</v>
      </c>
      <c r="C27" s="5">
        <v>0.0740740740740741</v>
      </c>
      <c r="D27" s="6">
        <v>0.4</v>
      </c>
      <c r="E27" s="5">
        <v>0.180522565320665</v>
      </c>
      <c r="F27" s="6">
        <v>0.466666666666667</v>
      </c>
    </row>
    <row r="28" customHeight="1" spans="1:6">
      <c r="A28" s="3">
        <v>24</v>
      </c>
      <c r="B28" s="4" t="s">
        <v>31</v>
      </c>
      <c r="C28" s="5">
        <v>0.285714285714286</v>
      </c>
      <c r="D28" s="6">
        <v>0.666666666666667</v>
      </c>
      <c r="E28" s="5">
        <v>0.128440366972477</v>
      </c>
      <c r="F28" s="6">
        <v>0.533333333333333</v>
      </c>
    </row>
    <row r="29" customHeight="1" spans="1:6">
      <c r="A29" s="3">
        <v>25</v>
      </c>
      <c r="B29" s="4" t="s">
        <v>32</v>
      </c>
      <c r="C29" s="5">
        <v>0.96</v>
      </c>
      <c r="D29" s="6">
        <v>0.933333333333333</v>
      </c>
      <c r="E29" s="5">
        <v>0.609375</v>
      </c>
      <c r="F29" s="6">
        <v>0.733333333333333</v>
      </c>
    </row>
    <row r="30" customHeight="1" spans="1:6">
      <c r="A30" s="3">
        <v>26</v>
      </c>
      <c r="B30" s="4" t="s">
        <v>33</v>
      </c>
      <c r="C30" s="5">
        <v>0.8</v>
      </c>
      <c r="D30" s="6">
        <v>0.666666666666667</v>
      </c>
      <c r="E30" s="5">
        <v>0.615384615384615</v>
      </c>
      <c r="F30" s="6">
        <v>0.6</v>
      </c>
    </row>
    <row r="31" customHeight="1" spans="1:6">
      <c r="A31" s="3">
        <v>27</v>
      </c>
      <c r="B31" s="4" t="s">
        <v>34</v>
      </c>
      <c r="C31" s="5">
        <v>0.827586206896552</v>
      </c>
      <c r="D31" s="6">
        <v>0.866666666666667</v>
      </c>
      <c r="E31" s="5">
        <v>0.689655172413793</v>
      </c>
      <c r="F31" s="6">
        <v>0.8</v>
      </c>
    </row>
    <row r="32" customHeight="1" spans="1:6">
      <c r="A32" s="3">
        <v>28</v>
      </c>
      <c r="B32" s="4" t="s">
        <v>35</v>
      </c>
      <c r="C32" s="5">
        <v>0.92822966507177</v>
      </c>
      <c r="D32" s="6">
        <v>0.866666666666667</v>
      </c>
      <c r="E32" s="5">
        <v>0.786729857819905</v>
      </c>
      <c r="F32" s="6">
        <v>0.8</v>
      </c>
    </row>
    <row r="33" customHeight="1" spans="1:6">
      <c r="A33" s="3">
        <v>29</v>
      </c>
      <c r="B33" s="4" t="s">
        <v>36</v>
      </c>
      <c r="C33" s="5">
        <v>0.923076923076923</v>
      </c>
      <c r="D33" s="6">
        <v>0.866666666666667</v>
      </c>
      <c r="E33" s="5">
        <v>0.923076923076923</v>
      </c>
      <c r="F33" s="6">
        <v>0.866666666666667</v>
      </c>
    </row>
    <row r="34" customHeight="1" spans="1:6">
      <c r="A34" s="3">
        <v>30</v>
      </c>
      <c r="B34" s="4" t="s">
        <v>37</v>
      </c>
      <c r="C34" s="5">
        <v>0.558823529411765</v>
      </c>
      <c r="D34" s="6">
        <v>0.6</v>
      </c>
      <c r="E34" s="5">
        <v>0.558823529411765</v>
      </c>
      <c r="F34" s="6">
        <v>0.6</v>
      </c>
    </row>
    <row r="35" customHeight="1" spans="1:6">
      <c r="A35" s="7"/>
      <c r="B35" s="8" t="s">
        <v>38</v>
      </c>
      <c r="C35" s="9">
        <f>IFERROR(AVERAGE(C5,C6,C7,C8,C9,C10),"N/A")</f>
        <v>0.815916437351167</v>
      </c>
      <c r="D35" s="10">
        <f>IFERROR(AVERAGE(D5,D6,D7,D8,D9,D10),"N/A")</f>
        <v>0.744444444444444</v>
      </c>
      <c r="E35" s="9">
        <f>IFERROR(AVERAGE(E5,E6,E7,E8,E9,E10),"N/A")</f>
        <v>0.442413099358762</v>
      </c>
      <c r="F35" s="10">
        <f>IFERROR(AVERAGE(F5,F6,F7,F8,F9,F10),"N/A")</f>
        <v>0.577777777777778</v>
      </c>
    </row>
    <row r="36" customHeight="1" spans="1:6">
      <c r="A36" s="7"/>
      <c r="B36" s="8" t="s">
        <v>39</v>
      </c>
      <c r="C36" s="9">
        <f>IFERROR(AVERAGE(C11,C12,C13,C14,C15,C16),"N/A")</f>
        <v>0.601129455148124</v>
      </c>
      <c r="D36" s="10">
        <f>IFERROR(AVERAGE(D11,D12,D13,D14,D15,D16),"N/A")</f>
        <v>0.677777777777778</v>
      </c>
      <c r="E36" s="9">
        <f>IFERROR(AVERAGE(E11,E12,E13,E14,E15,E16),"N/A")</f>
        <v>0.285353076072107</v>
      </c>
      <c r="F36" s="10">
        <f>IFERROR(AVERAGE(F11,F12,F13,F14,F15,F16),"N/A")</f>
        <v>0.488888888888889</v>
      </c>
    </row>
    <row r="37" customHeight="1" spans="1:6">
      <c r="A37" s="7"/>
      <c r="B37" s="8" t="s">
        <v>40</v>
      </c>
      <c r="C37" s="9">
        <f>IFERROR(AVERAGE(C17,C18,C19,C20,C21,C22),"N/A")</f>
        <v>0.65399533350516</v>
      </c>
      <c r="D37" s="10">
        <f>IFERROR(AVERAGE(D17,D18,D19,D20,D21,D22),"N/A")</f>
        <v>0.655555555555556</v>
      </c>
      <c r="E37" s="9">
        <f>IFERROR(AVERAGE(E17,E18,E19,E20,E21,E22),"N/A")</f>
        <v>0.373949227489085</v>
      </c>
      <c r="F37" s="10">
        <f>IFERROR(AVERAGE(F17,F18,F19,F20,F21,F22),"N/A")</f>
        <v>0.533333333333333</v>
      </c>
    </row>
    <row r="38" customHeight="1" spans="1:6">
      <c r="A38" s="7"/>
      <c r="B38" s="8" t="s">
        <v>41</v>
      </c>
      <c r="C38" s="9">
        <f>IFERROR(AVERAGE(C23,C24,C25,C26,C27,C28),"N/A")</f>
        <v>0.543195188073513</v>
      </c>
      <c r="D38" s="10">
        <f>IFERROR(AVERAGE(D23,D24,D25,D26,D27,D28),"N/A")</f>
        <v>0.622222222222222</v>
      </c>
      <c r="E38" s="9">
        <f>IFERROR(AVERAGE(E23,E24,E25,E26,E27,E28),"N/A")</f>
        <v>0.318587395015092</v>
      </c>
      <c r="F38" s="10">
        <f>IFERROR(AVERAGE(F23,F24,F25,F26,F27,F28),"N/A")</f>
        <v>0.522222222222222</v>
      </c>
    </row>
    <row r="39" customHeight="1" spans="1:6">
      <c r="A39" s="7"/>
      <c r="B39" s="8" t="s">
        <v>42</v>
      </c>
      <c r="C39" s="9">
        <f>IFERROR(AVERAGE(C29,C30,C31,C32,C33,C34),"N/A")</f>
        <v>0.832952720742835</v>
      </c>
      <c r="D39" s="10">
        <f>IFERROR(AVERAGE(D29,D30,D31,D32,D33,D34),"N/A")</f>
        <v>0.8</v>
      </c>
      <c r="E39" s="9">
        <f>IFERROR(AVERAGE(E29,E30,E31,E32,E33,E34),"N/A")</f>
        <v>0.697174183017834</v>
      </c>
      <c r="F39" s="10">
        <f>IFERROR(AVERAGE(F29,F30,F31,F32,F33,F34),"N/A")</f>
        <v>0.733333333333333</v>
      </c>
    </row>
    <row r="40" customHeight="1" spans="1:6">
      <c r="A40" s="7"/>
      <c r="B40" s="8" t="s">
        <v>43</v>
      </c>
      <c r="C40" s="9">
        <f>IFERROR(AVERAGE(C5,C6,C11,C12,C17,C18,C23,C24,C29,C30),"N/A")</f>
        <v>0.781795184462919</v>
      </c>
      <c r="D40" s="10">
        <f>IFERROR(AVERAGE(D5,D6,D11,D12,D17,D18,D23,D24,D29,D30),"N/A")</f>
        <v>0.7</v>
      </c>
      <c r="E40" s="9">
        <f>IFERROR(AVERAGE(E5,E6,E11,E12,E17,E18,E23,E24,E29,E30),"N/A")</f>
        <v>0.488781622041327</v>
      </c>
      <c r="F40" s="10">
        <f>IFERROR(AVERAGE(F5,F6,F11,F12,F17,F18,F23,F24,F29,F30),"N/A")</f>
        <v>0.573333333333333</v>
      </c>
    </row>
    <row r="41" customHeight="1" spans="1:6">
      <c r="A41" s="7"/>
      <c r="B41" s="8" t="s">
        <v>44</v>
      </c>
      <c r="C41" s="9">
        <f>IFERROR(AVERAGE(C7,C8,C13,C14,C19,C20,C25,C26,C31,C32),"N/A")</f>
        <v>0.789470935908061</v>
      </c>
      <c r="D41" s="10">
        <f>IFERROR(AVERAGE(D7,D8,D13,D14,D19,D20,D25,D26,D31,D32),"N/A")</f>
        <v>0.746666666666667</v>
      </c>
      <c r="E41" s="9">
        <f>IFERROR(AVERAGE(E7,E8,E13,E14,E19,E20,E25,E26,E31,E32),"N/A")</f>
        <v>0.480234740454765</v>
      </c>
      <c r="F41" s="10">
        <f>IFERROR(AVERAGE(F7,F8,F13,F14,F19,F20,F25,F26,F31,F32),"N/A")</f>
        <v>0.613333333333333</v>
      </c>
    </row>
    <row r="42" customHeight="1" spans="1:6">
      <c r="A42" s="7"/>
      <c r="B42" s="8" t="s">
        <v>45</v>
      </c>
      <c r="C42" s="9">
        <f>IFERROR(AVERAGE(C9,C10,C15,C16,C21,C22,C27,C28,C33,C34),"N/A")</f>
        <v>0.497047360521499</v>
      </c>
      <c r="D42" s="10">
        <f>IFERROR(AVERAGE(D9,D10,D15,D16,D21,D22,D27,D28,D33,D34),"N/A")</f>
        <v>0.653333333333333</v>
      </c>
      <c r="E42" s="9">
        <f>IFERROR(AVERAGE(E9,E10,E15,E16,E21,E22,E27,E28,E33,E34),"N/A")</f>
        <v>0.301469826075635</v>
      </c>
      <c r="F42" s="10">
        <f>IFERROR(AVERAGE(F9,F10,F15,F16,F21,F22,F27,F28,F33,F34),"N/A")</f>
        <v>0.526666666666667</v>
      </c>
    </row>
    <row r="43" customHeight="1" spans="1:6">
      <c r="A43" s="11"/>
      <c r="B43" s="12" t="s">
        <v>46</v>
      </c>
      <c r="C43" s="13">
        <f>IFERROR(AVERAGE(C5,C6,C7,C8,C9,C10,C11,C12,C13,C14,C15,C16,C17,C18,C19,C20,C21,C22,C23,C24,C25,C26,C27,C28,C29,C30,C31,C32,C33,C34),"N/A")</f>
        <v>0.68943782696416</v>
      </c>
      <c r="D43" s="14">
        <f>IFERROR(AVERAGE(D5,D6,D7,D8,D9,D10,D11,D12,D13,D14,D15,D16,D17,D18,D19,D20,D21,D22,D23,D24,D25,D26,D27,D28,D29,D30,D31,D32,D33,D34),"N/A")</f>
        <v>0.7</v>
      </c>
      <c r="E43" s="13">
        <f>IFERROR(AVERAGE(E5,E6,E7,E8,E9,E10,E11,E12,E13,E14,E15,E16,E17,E18,E19,E20,E21,E22,E23,E24,E25,E26,E27,E28,E29,E30,E31,E32,E33,E34),"N/A")</f>
        <v>0.423495396190576</v>
      </c>
      <c r="F43" s="14">
        <f>IFERROR(AVERAGE(F5,F6,F7,F8,F9,F10,F11,F12,F13,F14,F15,F16,F17,F18,F19,F20,F21,F22,F23,F24,F25,F26,F27,F28,F29,F30,F31,F32,F33,F34),"N/A")</f>
        <v>0.571111111111111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4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54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0.689352135704067</v>
      </c>
      <c r="D5" s="6">
        <v>0.6</v>
      </c>
      <c r="E5" s="5">
        <v>0.254281378712335</v>
      </c>
      <c r="F5" s="6">
        <v>0.45</v>
      </c>
    </row>
    <row r="6" customHeight="1" spans="1:6">
      <c r="A6" s="3">
        <v>2</v>
      </c>
      <c r="B6" s="4" t="s">
        <v>8</v>
      </c>
      <c r="C6" s="5">
        <v>0.810246679316888</v>
      </c>
      <c r="D6" s="6">
        <v>0.7625</v>
      </c>
      <c r="E6" s="5">
        <v>0.273081291578776</v>
      </c>
      <c r="F6" s="6">
        <v>0.5</v>
      </c>
    </row>
    <row r="7" customHeight="1" spans="1:6">
      <c r="A7" s="3">
        <v>3</v>
      </c>
      <c r="B7" s="4" t="s">
        <v>10</v>
      </c>
      <c r="C7" s="5">
        <v>0.678222562727447</v>
      </c>
      <c r="D7" s="6">
        <v>0.625</v>
      </c>
      <c r="E7" s="5">
        <v>0.306583560576548</v>
      </c>
      <c r="F7" s="6">
        <v>0.4875</v>
      </c>
    </row>
    <row r="8" customHeight="1" spans="1:6">
      <c r="A8" s="3">
        <v>4</v>
      </c>
      <c r="B8" s="4" t="s">
        <v>11</v>
      </c>
      <c r="C8" s="5">
        <v>0.841389728096677</v>
      </c>
      <c r="D8" s="6">
        <v>0.8125</v>
      </c>
      <c r="E8" s="5">
        <v>0.280205655526992</v>
      </c>
      <c r="F8" s="6">
        <v>0.4625</v>
      </c>
    </row>
    <row r="9" customHeight="1" spans="1:6">
      <c r="A9" s="3">
        <v>5</v>
      </c>
      <c r="B9" s="4" t="s">
        <v>12</v>
      </c>
      <c r="C9" s="5">
        <v>0.649805447470817</v>
      </c>
      <c r="D9" s="6">
        <v>0.7</v>
      </c>
      <c r="E9" s="5">
        <v>0.253731343283582</v>
      </c>
      <c r="F9" s="6">
        <v>0.45</v>
      </c>
    </row>
    <row r="10" customHeight="1" spans="1:6">
      <c r="A10" s="3">
        <v>6</v>
      </c>
      <c r="B10" s="4" t="s">
        <v>13</v>
      </c>
      <c r="C10" s="5">
        <v>0.638888888888889</v>
      </c>
      <c r="D10" s="6">
        <v>0.7</v>
      </c>
      <c r="E10" s="5">
        <v>0.203488372093023</v>
      </c>
      <c r="F10" s="6">
        <v>0.375</v>
      </c>
    </row>
    <row r="11" customHeight="1" spans="1:6">
      <c r="A11" s="3">
        <v>7</v>
      </c>
      <c r="B11" s="4" t="s">
        <v>14</v>
      </c>
      <c r="C11" s="5">
        <v>0.74025974025974</v>
      </c>
      <c r="D11" s="6">
        <v>0.6875</v>
      </c>
      <c r="E11" s="5">
        <v>0.26905132192846</v>
      </c>
      <c r="F11" s="6">
        <v>0.5</v>
      </c>
    </row>
    <row r="12" customHeight="1" spans="1:6">
      <c r="A12" s="3">
        <v>8</v>
      </c>
      <c r="B12" s="4" t="s">
        <v>15</v>
      </c>
      <c r="C12" s="5">
        <v>0.774844720496894</v>
      </c>
      <c r="D12" s="6">
        <v>0.7125</v>
      </c>
      <c r="E12" s="5">
        <v>0.289617486338798</v>
      </c>
      <c r="F12" s="6">
        <v>0.525</v>
      </c>
    </row>
    <row r="13" customHeight="1" spans="1:6">
      <c r="A13" s="3">
        <v>9</v>
      </c>
      <c r="B13" s="4" t="s">
        <v>16</v>
      </c>
      <c r="C13" s="5">
        <v>0.79529946929492</v>
      </c>
      <c r="D13" s="6">
        <v>0.7</v>
      </c>
      <c r="E13" s="5">
        <v>0.286926994906621</v>
      </c>
      <c r="F13" s="6">
        <v>0.5125</v>
      </c>
    </row>
    <row r="14" customHeight="1" spans="1:6">
      <c r="A14" s="3">
        <v>10</v>
      </c>
      <c r="B14" s="4" t="s">
        <v>17</v>
      </c>
      <c r="C14" s="5">
        <v>0.796991118361428</v>
      </c>
      <c r="D14" s="6">
        <v>0.8</v>
      </c>
      <c r="E14" s="5">
        <v>0.351234456658857</v>
      </c>
      <c r="F14" s="6">
        <v>0.5875</v>
      </c>
    </row>
    <row r="15" customHeight="1" spans="1:6">
      <c r="A15" s="3">
        <v>11</v>
      </c>
      <c r="B15" s="4" t="s">
        <v>18</v>
      </c>
      <c r="C15" s="5">
        <v>0.636040834442965</v>
      </c>
      <c r="D15" s="6">
        <v>0.6375</v>
      </c>
      <c r="E15" s="5">
        <v>0.156268568033274</v>
      </c>
      <c r="F15" s="6">
        <v>0.35</v>
      </c>
    </row>
    <row r="16" customHeight="1" spans="1:6">
      <c r="A16" s="3">
        <v>12</v>
      </c>
      <c r="B16" s="4" t="s">
        <v>19</v>
      </c>
      <c r="C16" s="5">
        <v>0.598034836980795</v>
      </c>
      <c r="D16" s="6">
        <v>0.5875</v>
      </c>
      <c r="E16" s="5">
        <v>0.200609059763989</v>
      </c>
      <c r="F16" s="6">
        <v>0.3625</v>
      </c>
    </row>
    <row r="17" customHeight="1" spans="1:6">
      <c r="A17" s="3">
        <v>13</v>
      </c>
      <c r="B17" s="4" t="s">
        <v>20</v>
      </c>
      <c r="C17" s="5">
        <v>0.617058311575283</v>
      </c>
      <c r="D17" s="6">
        <v>0.6375</v>
      </c>
      <c r="E17" s="5">
        <v>0.180977542932629</v>
      </c>
      <c r="F17" s="6">
        <v>0.475</v>
      </c>
    </row>
    <row r="18" customHeight="1" spans="1:6">
      <c r="A18" s="3">
        <v>14</v>
      </c>
      <c r="B18" s="4" t="s">
        <v>21</v>
      </c>
      <c r="C18" s="5">
        <v>0.657724329324699</v>
      </c>
      <c r="D18" s="6">
        <v>0.6125</v>
      </c>
      <c r="E18" s="5">
        <v>0.296385542168675</v>
      </c>
      <c r="F18" s="6">
        <v>0.4625</v>
      </c>
    </row>
    <row r="19" customHeight="1" spans="1:6">
      <c r="A19" s="3">
        <v>15</v>
      </c>
      <c r="B19" s="4" t="s">
        <v>22</v>
      </c>
      <c r="C19" s="5">
        <v>0.698511400037686</v>
      </c>
      <c r="D19" s="6">
        <v>0.6875</v>
      </c>
      <c r="E19" s="5">
        <v>0.257842387146136</v>
      </c>
      <c r="F19" s="6">
        <v>0.5</v>
      </c>
    </row>
    <row r="20" customHeight="1" spans="1:6">
      <c r="A20" s="3">
        <v>16</v>
      </c>
      <c r="B20" s="4" t="s">
        <v>23</v>
      </c>
      <c r="C20" s="5">
        <v>0.524647887323944</v>
      </c>
      <c r="D20" s="6">
        <v>0.55</v>
      </c>
      <c r="E20" s="5">
        <v>0.230769230769231</v>
      </c>
      <c r="F20" s="6">
        <v>0.4</v>
      </c>
    </row>
    <row r="21" customHeight="1" spans="1:6">
      <c r="A21" s="3">
        <v>17</v>
      </c>
      <c r="B21" s="4" t="s">
        <v>24</v>
      </c>
      <c r="C21" s="5">
        <v>0.581993569131833</v>
      </c>
      <c r="D21" s="6">
        <v>0.65</v>
      </c>
      <c r="E21" s="5">
        <v>0.204460966542751</v>
      </c>
      <c r="F21" s="6">
        <v>0.4125</v>
      </c>
    </row>
    <row r="22" customHeight="1" spans="1:6">
      <c r="A22" s="3">
        <v>18</v>
      </c>
      <c r="B22" s="4" t="s">
        <v>25</v>
      </c>
      <c r="C22" s="5">
        <v>0.308176100628931</v>
      </c>
      <c r="D22" s="6">
        <v>0.6125</v>
      </c>
      <c r="E22" s="5">
        <v>-0.00597609561752988</v>
      </c>
      <c r="F22" s="6">
        <v>0.5625</v>
      </c>
    </row>
    <row r="23" customHeight="1" spans="1:6">
      <c r="A23" s="3">
        <v>19</v>
      </c>
      <c r="B23" s="4" t="s">
        <v>26</v>
      </c>
      <c r="C23" s="5">
        <v>0.445727482678984</v>
      </c>
      <c r="D23" s="6">
        <v>0.5875</v>
      </c>
      <c r="E23" s="5">
        <v>0.233022636484687</v>
      </c>
      <c r="F23" s="6">
        <v>0.5125</v>
      </c>
    </row>
    <row r="24" customHeight="1" spans="1:6">
      <c r="A24" s="3">
        <v>20</v>
      </c>
      <c r="B24" s="4" t="s">
        <v>27</v>
      </c>
      <c r="C24" s="5">
        <v>0.595515497911629</v>
      </c>
      <c r="D24" s="6">
        <v>0.5375</v>
      </c>
      <c r="E24" s="5">
        <v>0.254611142802814</v>
      </c>
      <c r="F24" s="6">
        <v>0.4125</v>
      </c>
    </row>
    <row r="25" customHeight="1" spans="1:6">
      <c r="A25" s="3">
        <v>21</v>
      </c>
      <c r="B25" s="4" t="s">
        <v>28</v>
      </c>
      <c r="C25" s="5">
        <v>0.659574468085106</v>
      </c>
      <c r="D25" s="6">
        <v>0.65</v>
      </c>
      <c r="E25" s="5">
        <v>0.306138009912314</v>
      </c>
      <c r="F25" s="6">
        <v>0.5</v>
      </c>
    </row>
    <row r="26" customHeight="1" spans="1:6">
      <c r="A26" s="3">
        <v>22</v>
      </c>
      <c r="B26" s="4" t="s">
        <v>29</v>
      </c>
      <c r="C26" s="5">
        <v>0.697885196374622</v>
      </c>
      <c r="D26" s="6">
        <v>0.6875</v>
      </c>
      <c r="E26" s="5">
        <v>0.345357381429526</v>
      </c>
      <c r="F26" s="6">
        <v>0.4875</v>
      </c>
    </row>
    <row r="27" customHeight="1" spans="1:6">
      <c r="A27" s="3">
        <v>23</v>
      </c>
      <c r="B27" s="4" t="s">
        <v>30</v>
      </c>
      <c r="C27" s="5">
        <v>0.336902089449145</v>
      </c>
      <c r="D27" s="6">
        <v>0.625</v>
      </c>
      <c r="E27" s="5">
        <v>0.0147368421052632</v>
      </c>
      <c r="F27" s="6">
        <v>0.55</v>
      </c>
    </row>
    <row r="28" customHeight="1" spans="1:6">
      <c r="A28" s="3">
        <v>24</v>
      </c>
      <c r="B28" s="4" t="s">
        <v>31</v>
      </c>
      <c r="C28" s="5">
        <v>0.539042320683489</v>
      </c>
      <c r="D28" s="6">
        <v>0.65</v>
      </c>
      <c r="E28" s="5">
        <v>0.143868683617638</v>
      </c>
      <c r="F28" s="6">
        <v>0.425</v>
      </c>
    </row>
    <row r="29" customHeight="1" spans="1:6">
      <c r="A29" s="3">
        <v>25</v>
      </c>
      <c r="B29" s="4" t="s">
        <v>32</v>
      </c>
      <c r="C29" s="5">
        <v>0.655172413793103</v>
      </c>
      <c r="D29" s="6">
        <v>0.6875</v>
      </c>
      <c r="E29" s="5">
        <v>0.488</v>
      </c>
      <c r="F29" s="6">
        <v>0.6125</v>
      </c>
    </row>
    <row r="30" customHeight="1" spans="1:6">
      <c r="A30" s="3">
        <v>26</v>
      </c>
      <c r="B30" s="4" t="s">
        <v>33</v>
      </c>
      <c r="C30" s="5">
        <v>0.521235521235521</v>
      </c>
      <c r="D30" s="6">
        <v>0.6375</v>
      </c>
      <c r="E30" s="5">
        <v>0.222614840989399</v>
      </c>
      <c r="F30" s="6">
        <v>0.525</v>
      </c>
    </row>
    <row r="31" customHeight="1" spans="1:6">
      <c r="A31" s="3">
        <v>27</v>
      </c>
      <c r="B31" s="4" t="s">
        <v>34</v>
      </c>
      <c r="C31" s="5">
        <v>0.808510638297872</v>
      </c>
      <c r="D31" s="6">
        <v>0.8125</v>
      </c>
      <c r="E31" s="5">
        <v>0.524137931034483</v>
      </c>
      <c r="F31" s="6">
        <v>0.6625</v>
      </c>
    </row>
    <row r="32" customHeight="1" spans="1:6">
      <c r="A32" s="3">
        <v>28</v>
      </c>
      <c r="B32" s="4" t="s">
        <v>35</v>
      </c>
      <c r="C32" s="5">
        <v>0.808896210873147</v>
      </c>
      <c r="D32" s="6">
        <v>0.8625</v>
      </c>
      <c r="E32" s="5">
        <v>0.619492656875835</v>
      </c>
      <c r="F32" s="6">
        <v>0.775</v>
      </c>
    </row>
    <row r="33" customHeight="1" spans="1:6">
      <c r="A33" s="3">
        <v>29</v>
      </c>
      <c r="B33" s="4" t="s">
        <v>36</v>
      </c>
      <c r="C33" s="5">
        <v>0.649965682910089</v>
      </c>
      <c r="D33" s="6">
        <v>0.7375</v>
      </c>
      <c r="E33" s="5">
        <v>0.346886505522651</v>
      </c>
      <c r="F33" s="6">
        <v>0.5875</v>
      </c>
    </row>
    <row r="34" customHeight="1" spans="1:6">
      <c r="A34" s="3">
        <v>30</v>
      </c>
      <c r="B34" s="4" t="s">
        <v>37</v>
      </c>
      <c r="C34" s="5">
        <v>0.444444444444444</v>
      </c>
      <c r="D34" s="6">
        <v>0.5375</v>
      </c>
      <c r="E34" s="5">
        <v>0.282758620689655</v>
      </c>
      <c r="F34" s="6">
        <v>0.45</v>
      </c>
    </row>
    <row r="35" customHeight="1" spans="1:6">
      <c r="A35" s="7"/>
      <c r="B35" s="8" t="s">
        <v>38</v>
      </c>
      <c r="C35" s="9">
        <f>IFERROR(AVERAGE(C5,C6,C7,C8,C9,C10),"N/A")</f>
        <v>0.717984240367464</v>
      </c>
      <c r="D35" s="10">
        <f>IFERROR(AVERAGE(D5,D6,D7,D8,D9,D10),"N/A")</f>
        <v>0.7</v>
      </c>
      <c r="E35" s="9">
        <f>IFERROR(AVERAGE(E5,E6,E7,E8,E9,E10),"N/A")</f>
        <v>0.261895266961876</v>
      </c>
      <c r="F35" s="10">
        <f>IFERROR(AVERAGE(F5,F6,F7,F8,F9,F10),"N/A")</f>
        <v>0.454166666666667</v>
      </c>
    </row>
    <row r="36" customHeight="1" spans="1:6">
      <c r="A36" s="7"/>
      <c r="B36" s="8" t="s">
        <v>39</v>
      </c>
      <c r="C36" s="9">
        <f>IFERROR(AVERAGE(C11,C12,C13,C14,C15,C16),"N/A")</f>
        <v>0.723578453306124</v>
      </c>
      <c r="D36" s="10">
        <f>IFERROR(AVERAGE(D11,D12,D13,D14,D15,D16),"N/A")</f>
        <v>0.6875</v>
      </c>
      <c r="E36" s="9">
        <f>IFERROR(AVERAGE(E11,E12,E13,E14,E15,E16),"N/A")</f>
        <v>0.258951314605</v>
      </c>
      <c r="F36" s="10">
        <f>IFERROR(AVERAGE(F11,F12,F13,F14,F15,F16),"N/A")</f>
        <v>0.472916666666667</v>
      </c>
    </row>
    <row r="37" customHeight="1" spans="1:6">
      <c r="A37" s="7"/>
      <c r="B37" s="8" t="s">
        <v>40</v>
      </c>
      <c r="C37" s="9">
        <f>IFERROR(AVERAGE(C17,C18,C19,C20,C21,C22),"N/A")</f>
        <v>0.564685266337063</v>
      </c>
      <c r="D37" s="10">
        <f>IFERROR(AVERAGE(D17,D18,D19,D20,D21,D22),"N/A")</f>
        <v>0.625</v>
      </c>
      <c r="E37" s="9">
        <f>IFERROR(AVERAGE(E17,E18,E19,E20,E21,E22),"N/A")</f>
        <v>0.194076595656982</v>
      </c>
      <c r="F37" s="10">
        <f>IFERROR(AVERAGE(F17,F18,F19,F20,F21,F22),"N/A")</f>
        <v>0.46875</v>
      </c>
    </row>
    <row r="38" customHeight="1" spans="1:6">
      <c r="A38" s="7"/>
      <c r="B38" s="8" t="s">
        <v>41</v>
      </c>
      <c r="C38" s="9">
        <f>IFERROR(AVERAGE(C23,C24,C25,C26,C27,C28),"N/A")</f>
        <v>0.545774509197163</v>
      </c>
      <c r="D38" s="10">
        <f>IFERROR(AVERAGE(D23,D24,D25,D26,D27,D28),"N/A")</f>
        <v>0.622916666666667</v>
      </c>
      <c r="E38" s="9">
        <f>IFERROR(AVERAGE(E23,E24,E25,E26,E27,E28),"N/A")</f>
        <v>0.216289116058707</v>
      </c>
      <c r="F38" s="10">
        <f>IFERROR(AVERAGE(F23,F24,F25,F26,F27,F28),"N/A")</f>
        <v>0.48125</v>
      </c>
    </row>
    <row r="39" customHeight="1" spans="1:6">
      <c r="A39" s="7"/>
      <c r="B39" s="8" t="s">
        <v>42</v>
      </c>
      <c r="C39" s="9">
        <f>IFERROR(AVERAGE(C29,C30,C31,C32,C33,C34),"N/A")</f>
        <v>0.648037485259029</v>
      </c>
      <c r="D39" s="10">
        <f>IFERROR(AVERAGE(D29,D30,D31,D32,D33,D34),"N/A")</f>
        <v>0.7125</v>
      </c>
      <c r="E39" s="9">
        <f>IFERROR(AVERAGE(E29,E30,E31,E32,E33,E34),"N/A")</f>
        <v>0.413981759185337</v>
      </c>
      <c r="F39" s="10">
        <f>IFERROR(AVERAGE(F29,F30,F31,F32,F33,F34),"N/A")</f>
        <v>0.602083333333333</v>
      </c>
    </row>
    <row r="40" customHeight="1" spans="1:6">
      <c r="A40" s="7"/>
      <c r="B40" s="8" t="s">
        <v>43</v>
      </c>
      <c r="C40" s="9">
        <f>IFERROR(AVERAGE(C5,C6,C11,C12,C17,C18,C23,C24,C29,C30),"N/A")</f>
        <v>0.650713683229681</v>
      </c>
      <c r="D40" s="10">
        <f>IFERROR(AVERAGE(D5,D6,D11,D12,D17,D18,D23,D24,D29,D30),"N/A")</f>
        <v>0.64625</v>
      </c>
      <c r="E40" s="9">
        <f>IFERROR(AVERAGE(E5,E6,E11,E12,E17,E18,E23,E24,E29,E30),"N/A")</f>
        <v>0.276164318393657</v>
      </c>
      <c r="F40" s="10">
        <f>IFERROR(AVERAGE(F5,F6,F11,F12,F17,F18,F23,F24,F29,F30),"N/A")</f>
        <v>0.4975</v>
      </c>
    </row>
    <row r="41" customHeight="1" spans="1:6">
      <c r="A41" s="7"/>
      <c r="B41" s="8" t="s">
        <v>44</v>
      </c>
      <c r="C41" s="9">
        <f>IFERROR(AVERAGE(C7,C8,C13,C14,C19,C20,C25,C26,C31,C32),"N/A")</f>
        <v>0.730992867947285</v>
      </c>
      <c r="D41" s="10">
        <f>IFERROR(AVERAGE(D7,D8,D13,D14,D19,D20,D25,D26,D31,D32),"N/A")</f>
        <v>0.71875</v>
      </c>
      <c r="E41" s="9">
        <f>IFERROR(AVERAGE(E7,E8,E13,E14,E19,E20,E25,E26,E31,E32),"N/A")</f>
        <v>0.350868826483654</v>
      </c>
      <c r="F41" s="10">
        <f>IFERROR(AVERAGE(F7,F8,F13,F14,F19,F20,F25,F26,F31,F32),"N/A")</f>
        <v>0.5375</v>
      </c>
    </row>
    <row r="42" customHeight="1" spans="1:6">
      <c r="A42" s="7"/>
      <c r="B42" s="8" t="s">
        <v>45</v>
      </c>
      <c r="C42" s="9">
        <f>IFERROR(AVERAGE(C9,C10,C15,C16,C21,C22,C27,C28,C33,C34),"N/A")</f>
        <v>0.53832942150314</v>
      </c>
      <c r="D42" s="10">
        <f>IFERROR(AVERAGE(D9,D10,D15,D16,D21,D22,D27,D28,D33,D34),"N/A")</f>
        <v>0.64375</v>
      </c>
      <c r="E42" s="9">
        <f>IFERROR(AVERAGE(E9,E10,E15,E16,E21,E22,E27,E28,E33,E34),"N/A")</f>
        <v>0.18008328660343</v>
      </c>
      <c r="F42" s="10">
        <f>IFERROR(AVERAGE(F9,F10,F15,F16,F21,F22,F27,F28,F33,F34),"N/A")</f>
        <v>0.4525</v>
      </c>
    </row>
    <row r="43" customHeight="1" spans="1:6">
      <c r="A43" s="11"/>
      <c r="B43" s="12" t="s">
        <v>46</v>
      </c>
      <c r="C43" s="13">
        <f>IFERROR(AVERAGE(C5,C6,C7,C8,C9,C10,C11,C12,C13,C14,C15,C16,C17,C18,C19,C20,C21,C22,C23,C24,C25,C26,C27,C28,C29,C30,C31,C32,C33,C34),"N/A")</f>
        <v>0.640011990893368</v>
      </c>
      <c r="D43" s="14">
        <f>IFERROR(AVERAGE(D5,D6,D7,D8,D9,D10,D11,D12,D13,D14,D15,D16,D17,D18,D19,D20,D21,D22,D23,D24,D25,D26,D27,D28,D29,D30,D31,D32,D33,D34),"N/A")</f>
        <v>0.669583333333334</v>
      </c>
      <c r="E43" s="13">
        <f>IFERROR(AVERAGE(E5,E6,E7,E8,E9,E10,E11,E12,E13,E14,E15,E16,E17,E18,E19,E20,E21,E22,E23,E24,E25,E26,E27,E28,E29,E30,E31,E32,E33,E34),"N/A")</f>
        <v>0.26903881049358</v>
      </c>
      <c r="F43" s="14">
        <f>IFERROR(AVERAGE(F5,F6,F7,F8,F9,F10,F11,F12,F13,F14,F15,F16,F17,F18,F19,F20,F21,F22,F23,F24,F25,F26,F27,F28,F29,F30,F31,F32,F33,F34),"N/A")</f>
        <v>0.495833333333333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workbookViewId="0">
      <pane ySplit="4" topLeftCell="A5" activePane="bottomLeft" state="frozen"/>
      <selection/>
      <selection pane="bottomLeft" activeCell="C26" sqref="C26"/>
    </sheetView>
  </sheetViews>
  <sheetFormatPr defaultColWidth="9" defaultRowHeight="15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55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0.721448467966574</v>
      </c>
      <c r="D5" s="6">
        <v>0.655555555555556</v>
      </c>
      <c r="E5" s="5">
        <v>0.373134328358209</v>
      </c>
      <c r="F5" s="6">
        <v>0.516666666666667</v>
      </c>
    </row>
    <row r="6" customHeight="1" spans="1:6">
      <c r="A6" s="3">
        <v>2</v>
      </c>
      <c r="B6" s="4" t="s">
        <v>8</v>
      </c>
      <c r="C6" s="5">
        <v>0.805636540330418</v>
      </c>
      <c r="D6" s="6">
        <v>0.766666666666667</v>
      </c>
      <c r="E6" s="5">
        <v>0.309079792112504</v>
      </c>
      <c r="F6" s="6">
        <v>0.527777777777778</v>
      </c>
    </row>
    <row r="7" customHeight="1" spans="1:6">
      <c r="A7" s="3">
        <v>3</v>
      </c>
      <c r="B7" s="4" t="s">
        <v>10</v>
      </c>
      <c r="C7" s="5">
        <v>0.742054014330333</v>
      </c>
      <c r="D7" s="6">
        <v>0.716666666666667</v>
      </c>
      <c r="E7" s="5">
        <v>0.261726873603944</v>
      </c>
      <c r="F7" s="6">
        <v>0.516666666666667</v>
      </c>
    </row>
    <row r="8" customHeight="1" spans="1:6">
      <c r="A8" s="3">
        <v>4</v>
      </c>
      <c r="B8" s="4" t="s">
        <v>11</v>
      </c>
      <c r="C8" s="5">
        <v>0.783405172413793</v>
      </c>
      <c r="D8" s="6">
        <v>0.727777777777778</v>
      </c>
      <c r="E8" s="5">
        <v>0.279628993473033</v>
      </c>
      <c r="F8" s="6">
        <v>0.488888888888889</v>
      </c>
    </row>
    <row r="9" customHeight="1" spans="1:6">
      <c r="A9" s="3">
        <v>5</v>
      </c>
      <c r="B9" s="4" t="s">
        <v>12</v>
      </c>
      <c r="C9" s="5">
        <v>0.726247436773753</v>
      </c>
      <c r="D9" s="6">
        <v>0.755555555555556</v>
      </c>
      <c r="E9" s="5">
        <v>0.285209003215434</v>
      </c>
      <c r="F9" s="6">
        <v>0.527777777777778</v>
      </c>
    </row>
    <row r="10" customHeight="1" spans="1:6">
      <c r="A10" s="3">
        <v>6</v>
      </c>
      <c r="B10" s="4" t="s">
        <v>13</v>
      </c>
      <c r="C10" s="5">
        <v>0.660956459671663</v>
      </c>
      <c r="D10" s="6">
        <v>0.688888888888889</v>
      </c>
      <c r="E10" s="5">
        <v>0.176847004072135</v>
      </c>
      <c r="F10" s="6">
        <v>0.411111111111111</v>
      </c>
    </row>
    <row r="11" customHeight="1" spans="1:6">
      <c r="A11" s="3">
        <v>7</v>
      </c>
      <c r="B11" s="4" t="s">
        <v>14</v>
      </c>
      <c r="C11" s="5">
        <v>0.752066115702479</v>
      </c>
      <c r="D11" s="6">
        <v>0.705555555555556</v>
      </c>
      <c r="E11" s="5">
        <v>0.270642201834862</v>
      </c>
      <c r="F11" s="6">
        <v>0.472222222222222</v>
      </c>
    </row>
    <row r="12" customHeight="1" spans="1:6">
      <c r="A12" s="3">
        <v>8</v>
      </c>
      <c r="B12" s="4" t="s">
        <v>15</v>
      </c>
      <c r="C12" s="5">
        <v>0.686886708296164</v>
      </c>
      <c r="D12" s="6">
        <v>0.666666666666667</v>
      </c>
      <c r="E12" s="5">
        <v>0.171199875660553</v>
      </c>
      <c r="F12" s="6">
        <v>0.35</v>
      </c>
    </row>
    <row r="13" customHeight="1" spans="1:6">
      <c r="A13" s="3">
        <v>9</v>
      </c>
      <c r="B13" s="4" t="s">
        <v>16</v>
      </c>
      <c r="C13" s="5">
        <v>0.834778532927115</v>
      </c>
      <c r="D13" s="6">
        <v>0.772222222222222</v>
      </c>
      <c r="E13" s="5">
        <v>0.308084744561752</v>
      </c>
      <c r="F13" s="6">
        <v>0.477777777777778</v>
      </c>
    </row>
    <row r="14" customHeight="1" spans="1:6">
      <c r="A14" s="3">
        <v>10</v>
      </c>
      <c r="B14" s="4" t="s">
        <v>17</v>
      </c>
      <c r="C14" s="5">
        <v>0.823453884014552</v>
      </c>
      <c r="D14" s="6">
        <v>0.761111111111111</v>
      </c>
      <c r="E14" s="5">
        <v>0.261121157323689</v>
      </c>
      <c r="F14" s="6">
        <v>0.522222222222222</v>
      </c>
    </row>
    <row r="15" customHeight="1" spans="1:6">
      <c r="A15" s="3">
        <v>11</v>
      </c>
      <c r="B15" s="4" t="s">
        <v>18</v>
      </c>
      <c r="C15" s="5">
        <v>0.566606473121267</v>
      </c>
      <c r="D15" s="6">
        <v>0.622222222222222</v>
      </c>
      <c r="E15" s="5">
        <v>0.126536369131574</v>
      </c>
      <c r="F15" s="6">
        <v>0.361111111111111</v>
      </c>
    </row>
    <row r="16" customHeight="1" spans="1:6">
      <c r="A16" s="3">
        <v>12</v>
      </c>
      <c r="B16" s="4" t="s">
        <v>19</v>
      </c>
      <c r="C16" s="5">
        <v>0.379888268156425</v>
      </c>
      <c r="D16" s="6">
        <v>0.461111111111111</v>
      </c>
      <c r="E16" s="5">
        <v>0.0625000000000001</v>
      </c>
      <c r="F16" s="6">
        <v>0.294444444444444</v>
      </c>
    </row>
    <row r="17" customHeight="1" spans="1:6">
      <c r="A17" s="3">
        <v>13</v>
      </c>
      <c r="B17" s="4" t="s">
        <v>20</v>
      </c>
      <c r="C17" s="5">
        <v>0.592419394536057</v>
      </c>
      <c r="D17" s="6">
        <v>0.688888888888889</v>
      </c>
      <c r="E17" s="5">
        <v>0.100984635874994</v>
      </c>
      <c r="F17" s="6">
        <v>0.45</v>
      </c>
    </row>
    <row r="18" customHeight="1" spans="1:6">
      <c r="A18" s="3">
        <v>14</v>
      </c>
      <c r="B18" s="4" t="s">
        <v>21</v>
      </c>
      <c r="C18" s="5">
        <v>0.701986754966887</v>
      </c>
      <c r="D18" s="6">
        <v>0.655555555555556</v>
      </c>
      <c r="E18" s="5">
        <v>0.230867346938775</v>
      </c>
      <c r="F18" s="6">
        <v>0.5</v>
      </c>
    </row>
    <row r="19" customHeight="1" spans="1:6">
      <c r="A19" s="3">
        <v>15</v>
      </c>
      <c r="B19" s="4" t="s">
        <v>22</v>
      </c>
      <c r="C19" s="5">
        <v>0.712328767123288</v>
      </c>
      <c r="D19" s="6">
        <v>0.7</v>
      </c>
      <c r="E19" s="5">
        <v>0.206697459584296</v>
      </c>
      <c r="F19" s="6">
        <v>0.477777777777778</v>
      </c>
    </row>
    <row r="20" customHeight="1" spans="1:6">
      <c r="A20" s="3">
        <v>16</v>
      </c>
      <c r="B20" s="4" t="s">
        <v>23</v>
      </c>
      <c r="C20" s="5">
        <v>0.602487135506003</v>
      </c>
      <c r="D20" s="6">
        <v>0.594444444444444</v>
      </c>
      <c r="E20" s="5">
        <v>0.0954583683767872</v>
      </c>
      <c r="F20" s="6">
        <v>0.422222222222222</v>
      </c>
    </row>
    <row r="21" customHeight="1" spans="1:6">
      <c r="A21" s="3">
        <v>17</v>
      </c>
      <c r="B21" s="4" t="s">
        <v>24</v>
      </c>
      <c r="C21" s="5">
        <v>0.655555555555556</v>
      </c>
      <c r="D21" s="6">
        <v>0.633333333333333</v>
      </c>
      <c r="E21" s="5">
        <v>0.106308411214953</v>
      </c>
      <c r="F21" s="6">
        <v>0.4</v>
      </c>
    </row>
    <row r="22" customHeight="1" spans="1:6">
      <c r="A22" s="3">
        <v>18</v>
      </c>
      <c r="B22" s="4" t="s">
        <v>25</v>
      </c>
      <c r="C22" s="5">
        <v>0.223597678916828</v>
      </c>
      <c r="D22" s="6">
        <v>0.527777777777778</v>
      </c>
      <c r="E22" s="5">
        <v>0.0107438016528927</v>
      </c>
      <c r="F22" s="6">
        <v>0.455555555555556</v>
      </c>
    </row>
    <row r="23" customHeight="1" spans="1:6">
      <c r="A23" s="3">
        <v>19</v>
      </c>
      <c r="B23" s="4" t="s">
        <v>26</v>
      </c>
      <c r="C23" s="5">
        <v>0.603235747303544</v>
      </c>
      <c r="D23" s="6">
        <v>0.611111111111111</v>
      </c>
      <c r="E23" s="5">
        <v>0.253563390847712</v>
      </c>
      <c r="F23" s="6">
        <v>0.444444444444444</v>
      </c>
    </row>
    <row r="24" customHeight="1" spans="1:6">
      <c r="A24" s="3">
        <v>20</v>
      </c>
      <c r="B24" s="4" t="s">
        <v>27</v>
      </c>
      <c r="C24" s="5">
        <v>0.594331036276167</v>
      </c>
      <c r="D24" s="6">
        <v>0.605555555555556</v>
      </c>
      <c r="E24" s="5">
        <v>0.207266721717589</v>
      </c>
      <c r="F24" s="6">
        <v>0.405555555555556</v>
      </c>
    </row>
    <row r="25" customHeight="1" spans="1:6">
      <c r="A25" s="3">
        <v>21</v>
      </c>
      <c r="B25" s="4" t="s">
        <v>28</v>
      </c>
      <c r="C25" s="5">
        <v>0.792207792207792</v>
      </c>
      <c r="D25" s="6">
        <v>0.744444444444444</v>
      </c>
      <c r="E25" s="5">
        <v>0.288575720723943</v>
      </c>
      <c r="F25" s="6">
        <v>0.522222222222222</v>
      </c>
    </row>
    <row r="26" customHeight="1" spans="1:6">
      <c r="A26" s="3">
        <v>22</v>
      </c>
      <c r="B26" s="4" t="s">
        <v>29</v>
      </c>
      <c r="C26" s="5">
        <v>0.789196310935441</v>
      </c>
      <c r="D26" s="6">
        <v>0.744444444444444</v>
      </c>
      <c r="E26" s="5">
        <v>0.236092173438778</v>
      </c>
      <c r="F26" s="6">
        <v>0.483333333333333</v>
      </c>
    </row>
    <row r="27" customHeight="1" spans="1:6">
      <c r="A27" s="3">
        <v>23</v>
      </c>
      <c r="B27" s="4" t="s">
        <v>30</v>
      </c>
      <c r="C27" s="5">
        <v>0.22978878368536</v>
      </c>
      <c r="D27" s="6">
        <v>0.477777777777778</v>
      </c>
      <c r="E27" s="5">
        <v>0.0528294007099602</v>
      </c>
      <c r="F27" s="6">
        <v>0.483333333333333</v>
      </c>
    </row>
    <row r="28" customHeight="1" spans="1:6">
      <c r="A28" s="3">
        <v>24</v>
      </c>
      <c r="B28" s="4" t="s">
        <v>31</v>
      </c>
      <c r="C28" s="5">
        <v>0.413998914812805</v>
      </c>
      <c r="D28" s="6">
        <v>0.55</v>
      </c>
      <c r="E28" s="5">
        <v>0.0633333333333334</v>
      </c>
      <c r="F28" s="6">
        <v>0.422222222222222</v>
      </c>
    </row>
    <row r="29" customHeight="1" spans="1:6">
      <c r="A29" s="3">
        <v>25</v>
      </c>
      <c r="B29" s="4" t="s">
        <v>32</v>
      </c>
      <c r="C29" s="5">
        <v>0.734244802200469</v>
      </c>
      <c r="D29" s="6">
        <v>0.727777777777778</v>
      </c>
      <c r="E29" s="5">
        <v>0.292914319596798</v>
      </c>
      <c r="F29" s="6">
        <v>0.555555555555556</v>
      </c>
    </row>
    <row r="30" customHeight="1" spans="1:6">
      <c r="A30" s="3">
        <v>26</v>
      </c>
      <c r="B30" s="4" t="s">
        <v>33</v>
      </c>
      <c r="C30" s="5">
        <v>0.585270075332585</v>
      </c>
      <c r="D30" s="6">
        <v>0.644444444444444</v>
      </c>
      <c r="E30" s="5">
        <v>0.223378982671884</v>
      </c>
      <c r="F30" s="6">
        <v>0.527777777777778</v>
      </c>
    </row>
    <row r="31" customHeight="1" spans="1:6">
      <c r="A31" s="3">
        <v>27</v>
      </c>
      <c r="B31" s="4" t="s">
        <v>34</v>
      </c>
      <c r="C31" s="5">
        <v>0.816775244299674</v>
      </c>
      <c r="D31" s="6">
        <v>0.816666666666667</v>
      </c>
      <c r="E31" s="5">
        <v>0.427792915531335</v>
      </c>
      <c r="F31" s="6">
        <v>0.627777777777778</v>
      </c>
    </row>
    <row r="32" customHeight="1" spans="1:6">
      <c r="A32" s="3">
        <v>28</v>
      </c>
      <c r="B32" s="4" t="s">
        <v>35</v>
      </c>
      <c r="C32" s="5">
        <v>0.873672121734137</v>
      </c>
      <c r="D32" s="6">
        <v>0.888888888888889</v>
      </c>
      <c r="E32" s="5">
        <v>0.545933518536258</v>
      </c>
      <c r="F32" s="6">
        <v>0.722222222222222</v>
      </c>
    </row>
    <row r="33" customHeight="1" spans="1:6">
      <c r="A33" s="3">
        <v>29</v>
      </c>
      <c r="B33" s="4" t="s">
        <v>36</v>
      </c>
      <c r="C33" s="5">
        <v>0.641827912721284</v>
      </c>
      <c r="D33" s="6">
        <v>0.722222222222222</v>
      </c>
      <c r="E33" s="5">
        <v>0.294933365349982</v>
      </c>
      <c r="F33" s="6">
        <v>0.55</v>
      </c>
    </row>
    <row r="34" customHeight="1" spans="1:6">
      <c r="A34" s="3">
        <v>30</v>
      </c>
      <c r="B34" s="4" t="s">
        <v>37</v>
      </c>
      <c r="C34" s="5">
        <v>0.439159292035398</v>
      </c>
      <c r="D34" s="6">
        <v>0.561111111111111</v>
      </c>
      <c r="E34" s="5">
        <v>0.22552783109405</v>
      </c>
      <c r="F34" s="6">
        <v>0.472222222222222</v>
      </c>
    </row>
    <row r="35" customHeight="1" spans="1:6">
      <c r="A35" s="7"/>
      <c r="B35" s="8" t="s">
        <v>38</v>
      </c>
      <c r="C35" s="9">
        <f>IFERROR(AVERAGE(C5,C6,C7,C8,C9,C10),"N/A")</f>
        <v>0.739958015247756</v>
      </c>
      <c r="D35" s="10">
        <f>IFERROR(AVERAGE(D5,D6,D7,D8,D9,D10),"N/A")</f>
        <v>0.718518518518518</v>
      </c>
      <c r="E35" s="9">
        <f>IFERROR(AVERAGE(E5,E6,E7,E8,E9,E10),"N/A")</f>
        <v>0.280937665805876</v>
      </c>
      <c r="F35" s="10">
        <f>IFERROR(AVERAGE(F5,F6,F7,F8,F9,F10),"N/A")</f>
        <v>0.498148148148148</v>
      </c>
    </row>
    <row r="36" customHeight="1" spans="1:6">
      <c r="A36" s="7"/>
      <c r="B36" s="8" t="s">
        <v>39</v>
      </c>
      <c r="C36" s="9">
        <f>IFERROR(AVERAGE(C11,C12,C13,C14,C15,C16),"N/A")</f>
        <v>0.673946663703</v>
      </c>
      <c r="D36" s="10">
        <f>IFERROR(AVERAGE(D11,D12,D13,D14,D15,D16),"N/A")</f>
        <v>0.664814814814815</v>
      </c>
      <c r="E36" s="9">
        <f>IFERROR(AVERAGE(E11,E12,E13,E14,E15,E16),"N/A")</f>
        <v>0.200014058085405</v>
      </c>
      <c r="F36" s="10">
        <f>IFERROR(AVERAGE(F11,F12,F13,F14,F15,F16),"N/A")</f>
        <v>0.412962962962963</v>
      </c>
    </row>
    <row r="37" customHeight="1" spans="1:6">
      <c r="A37" s="7"/>
      <c r="B37" s="8" t="s">
        <v>40</v>
      </c>
      <c r="C37" s="9">
        <f>IFERROR(AVERAGE(C17,C18,C19,C20,C21,C22),"N/A")</f>
        <v>0.58139588110077</v>
      </c>
      <c r="D37" s="10">
        <f>IFERROR(AVERAGE(D17,D18,D19,D20,D21,D22),"N/A")</f>
        <v>0.633333333333333</v>
      </c>
      <c r="E37" s="9">
        <f>IFERROR(AVERAGE(E17,E18,E19,E20,E21,E22),"N/A")</f>
        <v>0.125176670607116</v>
      </c>
      <c r="F37" s="10">
        <f>IFERROR(AVERAGE(F17,F18,F19,F20,F21,F22),"N/A")</f>
        <v>0.450925925925926</v>
      </c>
    </row>
    <row r="38" customHeight="1" spans="1:6">
      <c r="A38" s="7"/>
      <c r="B38" s="8" t="s">
        <v>41</v>
      </c>
      <c r="C38" s="9">
        <f>IFERROR(AVERAGE(C23,C24,C25,C26,C27,C28),"N/A")</f>
        <v>0.570459764203518</v>
      </c>
      <c r="D38" s="10">
        <f>IFERROR(AVERAGE(D23,D24,D25,D26,D27,D28),"N/A")</f>
        <v>0.622222222222222</v>
      </c>
      <c r="E38" s="9">
        <f>IFERROR(AVERAGE(E23,E24,E25,E26,E27,E28),"N/A")</f>
        <v>0.183610123461886</v>
      </c>
      <c r="F38" s="10">
        <f>IFERROR(AVERAGE(F23,F24,F25,F26,F27,F28),"N/A")</f>
        <v>0.460185185185185</v>
      </c>
    </row>
    <row r="39" customHeight="1" spans="1:6">
      <c r="A39" s="7"/>
      <c r="B39" s="8" t="s">
        <v>42</v>
      </c>
      <c r="C39" s="9">
        <f>IFERROR(AVERAGE(C29,C30,C31,C32,C33,C34),"N/A")</f>
        <v>0.681824908053925</v>
      </c>
      <c r="D39" s="10">
        <f>IFERROR(AVERAGE(D29,D30,D31,D32,D33,D34),"N/A")</f>
        <v>0.726851851851852</v>
      </c>
      <c r="E39" s="9">
        <f>IFERROR(AVERAGE(E29,E30,E31,E32,E33,E34),"N/A")</f>
        <v>0.335080155463385</v>
      </c>
      <c r="F39" s="10">
        <f>IFERROR(AVERAGE(F29,F30,F31,F32,F33,F34),"N/A")</f>
        <v>0.575925925925926</v>
      </c>
    </row>
    <row r="40" customHeight="1" spans="1:6">
      <c r="A40" s="7"/>
      <c r="B40" s="8" t="s">
        <v>43</v>
      </c>
      <c r="C40" s="9">
        <f>IFERROR(AVERAGE(C5,C6,C11,C12,C17,C18,C23,C24,C29,C30),"N/A")</f>
        <v>0.677752564291134</v>
      </c>
      <c r="D40" s="10">
        <f>IFERROR(AVERAGE(D5,D6,D11,D12,D17,D18,D23,D24,D29,D30),"N/A")</f>
        <v>0.672777777777778</v>
      </c>
      <c r="E40" s="9">
        <f>IFERROR(AVERAGE(E5,E6,E11,E12,E17,E18,E23,E24,E29,E30),"N/A")</f>
        <v>0.243303159561388</v>
      </c>
      <c r="F40" s="10">
        <f>IFERROR(AVERAGE(F5,F6,F11,F12,F17,F18,F23,F24,F29,F30),"N/A")</f>
        <v>0.475</v>
      </c>
    </row>
    <row r="41" customHeight="1" spans="1:6">
      <c r="A41" s="7"/>
      <c r="B41" s="8" t="s">
        <v>44</v>
      </c>
      <c r="C41" s="9">
        <f>IFERROR(AVERAGE(C7,C8,C13,C14,C19,C20,C25,C26,C31,C32),"N/A")</f>
        <v>0.777035897549213</v>
      </c>
      <c r="D41" s="10">
        <f>IFERROR(AVERAGE(D7,D8,D13,D14,D19,D20,D25,D26,D31,D32),"N/A")</f>
        <v>0.746666666666667</v>
      </c>
      <c r="E41" s="9">
        <f>IFERROR(AVERAGE(E7,E8,E13,E14,E19,E20,E25,E26,E31,E32),"N/A")</f>
        <v>0.291111192515381</v>
      </c>
      <c r="F41" s="10">
        <f>IFERROR(AVERAGE(F7,F8,F13,F14,F19,F20,F25,F26,F31,F32),"N/A")</f>
        <v>0.526111111111111</v>
      </c>
    </row>
    <row r="42" customHeight="1" spans="1:6">
      <c r="A42" s="7"/>
      <c r="B42" s="8" t="s">
        <v>45</v>
      </c>
      <c r="C42" s="9">
        <f>IFERROR(AVERAGE(C9,C10,C15,C16,C21,C22,C27,C28,C33,C34),"N/A")</f>
        <v>0.493762677545034</v>
      </c>
      <c r="D42" s="10">
        <f>IFERROR(AVERAGE(D9,D10,D15,D16,D21,D22,D27,D28,D33,D34),"N/A")</f>
        <v>0.6</v>
      </c>
      <c r="E42" s="9">
        <f>IFERROR(AVERAGE(E9,E10,E15,E16,E21,E22,E27,E28,E33,E34),"N/A")</f>
        <v>0.140476851977431</v>
      </c>
      <c r="F42" s="10">
        <f>IFERROR(AVERAGE(F9,F10,F15,F16,F21,F22,F27,F28,F33,F34),"N/A")</f>
        <v>0.437777777777778</v>
      </c>
    </row>
    <row r="43" customHeight="1" spans="1:6">
      <c r="A43" s="11"/>
      <c r="B43" s="12" t="s">
        <v>46</v>
      </c>
      <c r="C43" s="13">
        <f>IFERROR(AVERAGE(C5,C6,C7,C8,C9,C10,C11,C12,C13,C14,C15,C16,C17,C18,C19,C20,C21,C22,C23,C24,C25,C26,C27,C28,C29,C30,C31,C32,C33,C34),"N/A")</f>
        <v>0.649517046461794</v>
      </c>
      <c r="D43" s="14">
        <f>IFERROR(AVERAGE(D5,D6,D7,D8,D9,D10,D11,D12,D13,D14,D15,D16,D17,D18,D19,D20,D21,D22,D23,D24,D25,D26,D27,D28,D29,D30,D31,D32,D33,D34),"N/A")</f>
        <v>0.673148148148148</v>
      </c>
      <c r="E43" s="13">
        <f>IFERROR(AVERAGE(E5,E6,E7,E8,E9,E10,E11,E12,E13,E14,E15,E16,E17,E18,E19,E20,E21,E22,E23,E24,E25,E26,E27,E28,E29,E30,E31,E32,E33,E34),"N/A")</f>
        <v>0.224963734684734</v>
      </c>
      <c r="F43" s="14">
        <f>IFERROR(AVERAGE(F5,F6,F7,F8,F9,F10,F11,F12,F13,F14,F15,F16,F17,F18,F19,F20,F21,F22,F23,F24,F25,F26,F27,F28,F29,F30,F31,F32,F33,F34),"N/A")</f>
        <v>0.47962962962963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workbookViewId="0">
      <pane ySplit="4" topLeftCell="A29" activePane="bottomLeft" state="frozen"/>
      <selection/>
      <selection pane="bottomLeft" activeCell="C23" sqref="C23"/>
    </sheetView>
  </sheetViews>
  <sheetFormatPr defaultColWidth="9" defaultRowHeight="14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56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0.766452044485325</v>
      </c>
      <c r="D5" s="6">
        <v>0.740601503759398</v>
      </c>
      <c r="E5" s="5">
        <v>0.372253354310665</v>
      </c>
      <c r="F5" s="6">
        <v>0.593984962406015</v>
      </c>
    </row>
    <row r="6" customHeight="1" spans="1:6">
      <c r="A6" s="3">
        <v>2</v>
      </c>
      <c r="B6" s="4" t="s">
        <v>8</v>
      </c>
      <c r="C6" s="5">
        <v>0.8145018731451</v>
      </c>
      <c r="D6" s="6">
        <v>0.778195488721805</v>
      </c>
      <c r="E6" s="5">
        <v>0.488276014317927</v>
      </c>
      <c r="F6" s="6">
        <v>0.601503759398496</v>
      </c>
    </row>
    <row r="7" customHeight="1" spans="1:6">
      <c r="A7" s="3">
        <v>3</v>
      </c>
      <c r="B7" s="4" t="s">
        <v>10</v>
      </c>
      <c r="C7" s="5">
        <v>0.760459667522035</v>
      </c>
      <c r="D7" s="6">
        <v>0.755639097744361</v>
      </c>
      <c r="E7" s="5">
        <v>0.405431007262393</v>
      </c>
      <c r="F7" s="6">
        <v>0.620300751879699</v>
      </c>
    </row>
    <row r="8" customHeight="1" spans="1:6">
      <c r="A8" s="3">
        <v>4</v>
      </c>
      <c r="B8" s="4" t="s">
        <v>11</v>
      </c>
      <c r="C8" s="5">
        <v>0.773662027833002</v>
      </c>
      <c r="D8" s="6">
        <v>0.755639097744361</v>
      </c>
      <c r="E8" s="5">
        <v>0.448702570565281</v>
      </c>
      <c r="F8" s="6">
        <v>0.582706766917293</v>
      </c>
    </row>
    <row r="9" customHeight="1" spans="1:6">
      <c r="A9" s="3">
        <v>5</v>
      </c>
      <c r="B9" s="4" t="s">
        <v>12</v>
      </c>
      <c r="C9" s="5">
        <v>0.739839839027675</v>
      </c>
      <c r="D9" s="6">
        <v>0.724528301886792</v>
      </c>
      <c r="E9" s="5">
        <v>0.378919854267211</v>
      </c>
      <c r="F9" s="6">
        <v>0.547169811320755</v>
      </c>
    </row>
    <row r="10" customHeight="1" spans="1:6">
      <c r="A10" s="3">
        <v>6</v>
      </c>
      <c r="B10" s="4" t="s">
        <v>13</v>
      </c>
      <c r="C10" s="5">
        <v>0.691445620929302</v>
      </c>
      <c r="D10" s="6">
        <v>0.709433962264151</v>
      </c>
      <c r="E10" s="5">
        <v>0.261923659715708</v>
      </c>
      <c r="F10" s="6">
        <v>0.449056603773585</v>
      </c>
    </row>
    <row r="11" customHeight="1" spans="1:6">
      <c r="A11" s="3">
        <v>7</v>
      </c>
      <c r="B11" s="4" t="s">
        <v>14</v>
      </c>
      <c r="C11" s="5">
        <v>0.713926796204248</v>
      </c>
      <c r="D11" s="6">
        <v>0.642857142857143</v>
      </c>
      <c r="E11" s="5">
        <v>0.393330886593614</v>
      </c>
      <c r="F11" s="6">
        <v>0.537593984962406</v>
      </c>
    </row>
    <row r="12" customHeight="1" spans="1:6">
      <c r="A12" s="3">
        <v>8</v>
      </c>
      <c r="B12" s="4" t="s">
        <v>15</v>
      </c>
      <c r="C12" s="5">
        <v>0.683954954024176</v>
      </c>
      <c r="D12" s="6">
        <v>0.657894736842105</v>
      </c>
      <c r="E12" s="5">
        <v>0.346023216910833</v>
      </c>
      <c r="F12" s="6">
        <v>0.458646616541353</v>
      </c>
    </row>
    <row r="13" customHeight="1" spans="1:6">
      <c r="A13" s="3">
        <v>9</v>
      </c>
      <c r="B13" s="4" t="s">
        <v>16</v>
      </c>
      <c r="C13" s="5">
        <v>0.78368907295317</v>
      </c>
      <c r="D13" s="6">
        <v>0.74812030075188</v>
      </c>
      <c r="E13" s="5">
        <v>0.414949970570924</v>
      </c>
      <c r="F13" s="6">
        <v>0.552631578947368</v>
      </c>
    </row>
    <row r="14" customHeight="1" spans="1:6">
      <c r="A14" s="3">
        <v>10</v>
      </c>
      <c r="B14" s="4" t="s">
        <v>17</v>
      </c>
      <c r="C14" s="5">
        <v>0.82482438534872</v>
      </c>
      <c r="D14" s="6">
        <v>0.819548872180451</v>
      </c>
      <c r="E14" s="5">
        <v>0.3976736425609</v>
      </c>
      <c r="F14" s="6">
        <v>0.616541353383459</v>
      </c>
    </row>
    <row r="15" customHeight="1" spans="1:6">
      <c r="A15" s="3">
        <v>11</v>
      </c>
      <c r="B15" s="4" t="s">
        <v>18</v>
      </c>
      <c r="C15" s="5">
        <v>0.627435168286575</v>
      </c>
      <c r="D15" s="6">
        <v>0.661654135338346</v>
      </c>
      <c r="E15" s="5">
        <v>0.215602836879433</v>
      </c>
      <c r="F15" s="6">
        <v>0.383458646616541</v>
      </c>
    </row>
    <row r="16" customHeight="1" spans="1:6">
      <c r="A16" s="3">
        <v>12</v>
      </c>
      <c r="B16" s="4" t="s">
        <v>19</v>
      </c>
      <c r="C16" s="5">
        <v>0.411052369978763</v>
      </c>
      <c r="D16" s="6">
        <v>0.466165413533835</v>
      </c>
      <c r="E16" s="5">
        <v>0.238502435215823</v>
      </c>
      <c r="F16" s="6">
        <v>0.338345864661654</v>
      </c>
    </row>
    <row r="17" customHeight="1" spans="1:6">
      <c r="A17" s="3">
        <v>13</v>
      </c>
      <c r="B17" s="4" t="s">
        <v>20</v>
      </c>
      <c r="C17" s="5">
        <v>0.706936734607399</v>
      </c>
      <c r="D17" s="6">
        <v>0.699248120300752</v>
      </c>
      <c r="E17" s="5">
        <v>0.392408846383742</v>
      </c>
      <c r="F17" s="6">
        <v>0.578947368421053</v>
      </c>
    </row>
    <row r="18" customHeight="1" spans="1:6">
      <c r="A18" s="3">
        <v>14</v>
      </c>
      <c r="B18" s="4" t="s">
        <v>21</v>
      </c>
      <c r="C18" s="5">
        <v>0.661883509406248</v>
      </c>
      <c r="D18" s="6">
        <v>0.62781954887218</v>
      </c>
      <c r="E18" s="5">
        <v>0.352252269324793</v>
      </c>
      <c r="F18" s="6">
        <v>0.507518796992481</v>
      </c>
    </row>
    <row r="19" customHeight="1" spans="1:6">
      <c r="A19" s="3">
        <v>15</v>
      </c>
      <c r="B19" s="4" t="s">
        <v>22</v>
      </c>
      <c r="C19" s="5">
        <v>0.76969696969697</v>
      </c>
      <c r="D19" s="6">
        <v>0.729323308270677</v>
      </c>
      <c r="E19" s="5">
        <v>0.414565826330532</v>
      </c>
      <c r="F19" s="6">
        <v>0.578947368421053</v>
      </c>
    </row>
    <row r="20" customHeight="1" spans="1:6">
      <c r="A20" s="3">
        <v>16</v>
      </c>
      <c r="B20" s="4" t="s">
        <v>23</v>
      </c>
      <c r="C20" s="5">
        <v>0.530452397029034</v>
      </c>
      <c r="D20" s="6">
        <v>0.515037593984962</v>
      </c>
      <c r="E20" s="5">
        <v>0.35831960461285</v>
      </c>
      <c r="F20" s="6">
        <v>0.447368421052632</v>
      </c>
    </row>
    <row r="21" customHeight="1" spans="1:6">
      <c r="A21" s="3">
        <v>17</v>
      </c>
      <c r="B21" s="4" t="s">
        <v>24</v>
      </c>
      <c r="C21" s="5">
        <v>0.674842066146414</v>
      </c>
      <c r="D21" s="6">
        <v>0.620300751879699</v>
      </c>
      <c r="E21" s="5">
        <v>0.349527225301598</v>
      </c>
      <c r="F21" s="6">
        <v>0.481203007518797</v>
      </c>
    </row>
    <row r="22" customHeight="1" spans="1:6">
      <c r="A22" s="3">
        <v>18</v>
      </c>
      <c r="B22" s="4" t="s">
        <v>25</v>
      </c>
      <c r="C22" s="5">
        <v>0.2419138039576</v>
      </c>
      <c r="D22" s="6">
        <v>0.507518796992481</v>
      </c>
      <c r="E22" s="5">
        <v>0.087061854678998</v>
      </c>
      <c r="F22" s="6">
        <v>0.469924812030075</v>
      </c>
    </row>
    <row r="23" customHeight="1" spans="1:6">
      <c r="A23" s="3">
        <v>19</v>
      </c>
      <c r="B23" s="4" t="s">
        <v>26</v>
      </c>
      <c r="C23" s="5">
        <v>0.642509245973202</v>
      </c>
      <c r="D23" s="6">
        <v>0.657894736842105</v>
      </c>
      <c r="E23" s="5">
        <v>0.346801807971511</v>
      </c>
      <c r="F23" s="6">
        <v>0.518796992481203</v>
      </c>
    </row>
    <row r="24" customHeight="1" spans="1:6">
      <c r="A24" s="3">
        <v>20</v>
      </c>
      <c r="B24" s="4" t="s">
        <v>27</v>
      </c>
      <c r="C24" s="5">
        <v>0.495449631449631</v>
      </c>
      <c r="D24" s="6">
        <v>0.556390977443609</v>
      </c>
      <c r="E24" s="5">
        <v>0.296448753362581</v>
      </c>
      <c r="F24" s="6">
        <v>0.43984962406015</v>
      </c>
    </row>
    <row r="25" customHeight="1" spans="1:6">
      <c r="A25" s="3">
        <v>21</v>
      </c>
      <c r="B25" s="4" t="s">
        <v>28</v>
      </c>
      <c r="C25" s="5">
        <v>0.765852704332801</v>
      </c>
      <c r="D25" s="6">
        <v>0.75187969924812</v>
      </c>
      <c r="E25" s="5">
        <v>0.407323688969259</v>
      </c>
      <c r="F25" s="6">
        <v>0.582706766917293</v>
      </c>
    </row>
    <row r="26" customHeight="1" spans="1:6">
      <c r="A26" s="3">
        <v>22</v>
      </c>
      <c r="B26" s="4" t="s">
        <v>29</v>
      </c>
      <c r="C26" s="5">
        <v>0.7648458883732</v>
      </c>
      <c r="D26" s="6">
        <v>0.721804511278195</v>
      </c>
      <c r="E26" s="5">
        <v>0.369410096873277</v>
      </c>
      <c r="F26" s="6">
        <v>0.522556390977444</v>
      </c>
    </row>
    <row r="27" customHeight="1" spans="1:6">
      <c r="A27" s="3">
        <v>23</v>
      </c>
      <c r="B27" s="4" t="s">
        <v>30</v>
      </c>
      <c r="C27" s="5">
        <v>0.175779350162381</v>
      </c>
      <c r="D27" s="6">
        <v>0.484962406015038</v>
      </c>
      <c r="E27" s="5">
        <v>0.181402528380781</v>
      </c>
      <c r="F27" s="6">
        <v>0.56015037593985</v>
      </c>
    </row>
    <row r="28" customHeight="1" spans="1:6">
      <c r="A28" s="3">
        <v>24</v>
      </c>
      <c r="B28" s="4" t="s">
        <v>31</v>
      </c>
      <c r="C28" s="5">
        <v>0.37879821569142</v>
      </c>
      <c r="D28" s="6">
        <v>0.56015037593985</v>
      </c>
      <c r="E28" s="5">
        <v>0.265949282343528</v>
      </c>
      <c r="F28" s="6">
        <v>0.484962406015038</v>
      </c>
    </row>
    <row r="29" customHeight="1" spans="1:6">
      <c r="A29" s="3">
        <v>25</v>
      </c>
      <c r="B29" s="4" t="s">
        <v>32</v>
      </c>
      <c r="C29" s="5">
        <v>0.740335806325654</v>
      </c>
      <c r="D29" s="6">
        <v>0.770676691729323</v>
      </c>
      <c r="E29" s="5">
        <v>0.46002296879802</v>
      </c>
      <c r="F29" s="6">
        <v>0.676691729323308</v>
      </c>
    </row>
    <row r="30" customHeight="1" spans="1:6">
      <c r="A30" s="3">
        <v>26</v>
      </c>
      <c r="B30" s="4" t="s">
        <v>33</v>
      </c>
      <c r="C30" s="5">
        <v>0.679834725590587</v>
      </c>
      <c r="D30" s="6">
        <v>0.699248120300752</v>
      </c>
      <c r="E30" s="5">
        <v>0.439267914045265</v>
      </c>
      <c r="F30" s="6">
        <v>0.593984962406015</v>
      </c>
    </row>
    <row r="31" customHeight="1" spans="1:6">
      <c r="A31" s="3">
        <v>27</v>
      </c>
      <c r="B31" s="4" t="s">
        <v>34</v>
      </c>
      <c r="C31" s="5">
        <v>0.827290984039742</v>
      </c>
      <c r="D31" s="6">
        <v>0.845864661654135</v>
      </c>
      <c r="E31" s="5">
        <v>0.567148652865911</v>
      </c>
      <c r="F31" s="6">
        <v>0.729323308270677</v>
      </c>
    </row>
    <row r="32" customHeight="1" spans="1:6">
      <c r="A32" s="3">
        <v>28</v>
      </c>
      <c r="B32" s="4" t="s">
        <v>35</v>
      </c>
      <c r="C32" s="5">
        <v>0.876238866815355</v>
      </c>
      <c r="D32" s="6">
        <v>0.87593984962406</v>
      </c>
      <c r="E32" s="5">
        <v>0.66857024192711</v>
      </c>
      <c r="F32" s="6">
        <v>0.774436090225564</v>
      </c>
    </row>
    <row r="33" customHeight="1" spans="1:6">
      <c r="A33" s="3">
        <v>29</v>
      </c>
      <c r="B33" s="4" t="s">
        <v>36</v>
      </c>
      <c r="C33" s="5">
        <v>0.646472477572267</v>
      </c>
      <c r="D33" s="6">
        <v>0.740601503759398</v>
      </c>
      <c r="E33" s="5">
        <v>0.484279823482601</v>
      </c>
      <c r="F33" s="6">
        <v>0.657894736842105</v>
      </c>
    </row>
    <row r="34" customHeight="1" spans="1:6">
      <c r="A34" s="3">
        <v>30</v>
      </c>
      <c r="B34" s="4" t="s">
        <v>37</v>
      </c>
      <c r="C34" s="5">
        <v>0.4014149869534</v>
      </c>
      <c r="D34" s="6">
        <v>0.518796992481203</v>
      </c>
      <c r="E34" s="5">
        <v>0.412457356663365</v>
      </c>
      <c r="F34" s="6">
        <v>0.518796992481203</v>
      </c>
    </row>
    <row r="35" customHeight="1" spans="1:6">
      <c r="A35" s="7"/>
      <c r="B35" s="8" t="s">
        <v>38</v>
      </c>
      <c r="C35" s="9">
        <f>IFERROR(AVERAGE(C5,C6,C7,C8,C9,C10),"N/A")</f>
        <v>0.757726845490406</v>
      </c>
      <c r="D35" s="10">
        <f>IFERROR(AVERAGE(D5,D6,D7,D8,D9,D10),"N/A")</f>
        <v>0.744006242020145</v>
      </c>
      <c r="E35" s="9">
        <f>IFERROR(AVERAGE(E5,E6,E7,E8,E9,E10),"N/A")</f>
        <v>0.392584410073198</v>
      </c>
      <c r="F35" s="10">
        <f>IFERROR(AVERAGE(F5,F6,F7,F8,F9,F10),"N/A")</f>
        <v>0.565787109282641</v>
      </c>
    </row>
    <row r="36" customHeight="1" spans="1:6">
      <c r="A36" s="7"/>
      <c r="B36" s="8" t="s">
        <v>39</v>
      </c>
      <c r="C36" s="9">
        <f>IFERROR(AVERAGE(C11,C12,C13,C14,C15,C16),"N/A")</f>
        <v>0.674147124465942</v>
      </c>
      <c r="D36" s="10">
        <f>IFERROR(AVERAGE(D11,D12,D13,D14,D15,D16),"N/A")</f>
        <v>0.666040100250627</v>
      </c>
      <c r="E36" s="9">
        <f>IFERROR(AVERAGE(E11,E12,E13,E14,E15,E16),"N/A")</f>
        <v>0.334347164788588</v>
      </c>
      <c r="F36" s="10">
        <f>IFERROR(AVERAGE(F11,F12,F13,F14,F15,F16),"N/A")</f>
        <v>0.481203007518797</v>
      </c>
    </row>
    <row r="37" customHeight="1" spans="1:6">
      <c r="A37" s="7"/>
      <c r="B37" s="8" t="s">
        <v>40</v>
      </c>
      <c r="C37" s="9">
        <f>IFERROR(AVERAGE(C17,C18,C19,C20,C21,C22),"N/A")</f>
        <v>0.597620913473944</v>
      </c>
      <c r="D37" s="10">
        <f>IFERROR(AVERAGE(D17,D18,D19,D20,D21,D22),"N/A")</f>
        <v>0.616541353383459</v>
      </c>
      <c r="E37" s="9">
        <f>IFERROR(AVERAGE(E17,E18,E19,E20,E21,E22),"N/A")</f>
        <v>0.325689271105419</v>
      </c>
      <c r="F37" s="10">
        <f>IFERROR(AVERAGE(F17,F18,F19,F20,F21,F22),"N/A")</f>
        <v>0.510651629072682</v>
      </c>
    </row>
    <row r="38" customHeight="1" spans="1:6">
      <c r="A38" s="7"/>
      <c r="B38" s="8" t="s">
        <v>41</v>
      </c>
      <c r="C38" s="9">
        <f>IFERROR(AVERAGE(C23,C24,C25,C26,C27,C28),"N/A")</f>
        <v>0.537205839330439</v>
      </c>
      <c r="D38" s="10">
        <f>IFERROR(AVERAGE(D23,D24,D25,D26,D27,D28),"N/A")</f>
        <v>0.62218045112782</v>
      </c>
      <c r="E38" s="9">
        <f>IFERROR(AVERAGE(E23,E24,E25,E26,E27,E28),"N/A")</f>
        <v>0.311222692983489</v>
      </c>
      <c r="F38" s="10">
        <f>IFERROR(AVERAGE(F23,F24,F25,F26,F27,F28),"N/A")</f>
        <v>0.518170426065163</v>
      </c>
    </row>
    <row r="39" customHeight="1" spans="1:6">
      <c r="A39" s="7"/>
      <c r="B39" s="8" t="s">
        <v>42</v>
      </c>
      <c r="C39" s="9">
        <f>IFERROR(AVERAGE(C29,C30,C31,C32,C33,C34),"N/A")</f>
        <v>0.695264641216168</v>
      </c>
      <c r="D39" s="10">
        <f>IFERROR(AVERAGE(D29,D30,D31,D32,D33,D34),"N/A")</f>
        <v>0.741854636591479</v>
      </c>
      <c r="E39" s="9">
        <f>IFERROR(AVERAGE(E29,E30,E31,E32,E33,E34),"N/A")</f>
        <v>0.505291159630379</v>
      </c>
      <c r="F39" s="10">
        <f>IFERROR(AVERAGE(F29,F30,F31,F32,F33,F34),"N/A")</f>
        <v>0.658521303258145</v>
      </c>
    </row>
    <row r="40" customHeight="1" spans="1:6">
      <c r="A40" s="7"/>
      <c r="B40" s="8" t="s">
        <v>43</v>
      </c>
      <c r="C40" s="9">
        <f>IFERROR(AVERAGE(C5,C6,C11,C12,C17,C18,C23,C24,C29,C30),"N/A")</f>
        <v>0.690578532121157</v>
      </c>
      <c r="D40" s="10">
        <f>IFERROR(AVERAGE(D5,D6,D11,D12,D17,D18,D23,D24,D29,D30),"N/A")</f>
        <v>0.683082706766917</v>
      </c>
      <c r="E40" s="9">
        <f>IFERROR(AVERAGE(E5,E6,E11,E12,E17,E18,E23,E24,E29,E30),"N/A")</f>
        <v>0.388708603201895</v>
      </c>
      <c r="F40" s="10">
        <f>IFERROR(AVERAGE(F5,F6,F11,F12,F17,F18,F23,F24,F29,F30),"N/A")</f>
        <v>0.550751879699248</v>
      </c>
    </row>
    <row r="41" customHeight="1" spans="1:6">
      <c r="A41" s="7"/>
      <c r="B41" s="8" t="s">
        <v>44</v>
      </c>
      <c r="C41" s="9">
        <f>IFERROR(AVERAGE(C7,C8,C13,C14,C19,C20,C25,C26,C31,C32),"N/A")</f>
        <v>0.767701296394403</v>
      </c>
      <c r="D41" s="10">
        <f>IFERROR(AVERAGE(D7,D8,D13,D14,D19,D20,D25,D26,D31,D32),"N/A")</f>
        <v>0.75187969924812</v>
      </c>
      <c r="E41" s="9">
        <f>IFERROR(AVERAGE(E7,E8,E13,E14,E19,E20,E25,E26,E31,E32),"N/A")</f>
        <v>0.445209530253844</v>
      </c>
      <c r="F41" s="10">
        <f>IFERROR(AVERAGE(F7,F8,F13,F14,F19,F20,F25,F26,F31,F32),"N/A")</f>
        <v>0.600751879699248</v>
      </c>
    </row>
    <row r="42" customHeight="1" spans="1:6">
      <c r="A42" s="7"/>
      <c r="B42" s="8" t="s">
        <v>45</v>
      </c>
      <c r="C42" s="9">
        <f>IFERROR(AVERAGE(C9,C10,C15,C16,C21,C22,C27,C28,C33,C34),"N/A")</f>
        <v>0.49889938987058</v>
      </c>
      <c r="D42" s="10">
        <f>IFERROR(AVERAGE(D9,D10,D15,D16,D21,D22,D27,D28,D33,D34),"N/A")</f>
        <v>0.599411264009079</v>
      </c>
      <c r="E42" s="9">
        <f>IFERROR(AVERAGE(E9,E10,E15,E16,E21,E22,E27,E28,E33,E34),"N/A")</f>
        <v>0.287562685692905</v>
      </c>
      <c r="F42" s="10">
        <f>IFERROR(AVERAGE(F9,F10,F15,F16,F21,F22,F27,F28,F33,F34),"N/A")</f>
        <v>0.48909632571996</v>
      </c>
    </row>
    <row r="43" customHeight="1" spans="1:6">
      <c r="A43" s="11"/>
      <c r="B43" s="12" t="s">
        <v>46</v>
      </c>
      <c r="C43" s="13">
        <f>IFERROR(AVERAGE(C5,C6,C7,C8,C9,C10,C11,C12,C13,C14,C15,C16,C17,C18,C19,C20,C21,C22,C23,C24,C25,C26,C27,C28,C29,C30,C31,C32,C33,C34),"N/A")</f>
        <v>0.65239307279538</v>
      </c>
      <c r="D43" s="14">
        <f>IFERROR(AVERAGE(D5,D6,D7,D8,D9,D10,D11,D12,D13,D14,D15,D16,D17,D18,D19,D20,D21,D22,D23,D24,D25,D26,D27,D28,D29,D30,D31,D32,D33,D34),"N/A")</f>
        <v>0.678124556674706</v>
      </c>
      <c r="E43" s="13">
        <f>IFERROR(AVERAGE(E5,E6,E7,E8,E9,E10,E11,E12,E13,E14,E15,E16,E17,E18,E19,E20,E21,E22,E23,E24,E25,E26,E27,E28,E29,E30,E31,E32,E33,E34),"N/A")</f>
        <v>0.373826939716215</v>
      </c>
      <c r="F43" s="14">
        <f>IFERROR(AVERAGE(F5,F6,F7,F8,F9,F10,F11,F12,F13,F14,F15,F16,F17,F18,F19,F20,F21,F22,F23,F24,F25,F26,F27,F28,F29,F30,F31,F32,F33,F34),"N/A")</f>
        <v>0.546866695039485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9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57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0.684289535321529</v>
      </c>
      <c r="D5" s="6">
        <v>0.67621776504298</v>
      </c>
      <c r="E5" s="5">
        <v>0.445226715911297</v>
      </c>
      <c r="F5" s="6">
        <v>0.587392550143267</v>
      </c>
    </row>
    <row r="6" customHeight="1" spans="1:6">
      <c r="A6" s="3">
        <v>2</v>
      </c>
      <c r="B6" s="4" t="s">
        <v>8</v>
      </c>
      <c r="C6" s="5">
        <v>0.81352963875449</v>
      </c>
      <c r="D6" s="6">
        <v>0.776504297994269</v>
      </c>
      <c r="E6" s="5">
        <v>0.376733757201592</v>
      </c>
      <c r="F6" s="6">
        <v>0.547277936962751</v>
      </c>
    </row>
    <row r="7" customHeight="1" spans="1:6">
      <c r="A7" s="3">
        <v>3</v>
      </c>
      <c r="B7" s="4" t="s">
        <v>10</v>
      </c>
      <c r="C7" s="5">
        <v>0.763916683108318</v>
      </c>
      <c r="D7" s="6">
        <v>0.742120343839542</v>
      </c>
      <c r="E7" s="5">
        <v>0.379018059375978</v>
      </c>
      <c r="F7" s="6">
        <v>0.578796561604584</v>
      </c>
    </row>
    <row r="8" customHeight="1" spans="1:6">
      <c r="A8" s="3">
        <v>4</v>
      </c>
      <c r="B8" s="4" t="s">
        <v>11</v>
      </c>
      <c r="C8" s="5">
        <v>0.83539069162494</v>
      </c>
      <c r="D8" s="6">
        <v>0.802292263610315</v>
      </c>
      <c r="E8" s="5">
        <v>0.367640900402602</v>
      </c>
      <c r="F8" s="6">
        <v>0.555873925501433</v>
      </c>
    </row>
    <row r="9" customHeight="1" spans="1:6">
      <c r="A9" s="3">
        <v>5</v>
      </c>
      <c r="B9" s="4" t="s">
        <v>12</v>
      </c>
      <c r="C9" s="5">
        <v>0.770203239541723</v>
      </c>
      <c r="D9" s="6">
        <v>0.750716332378224</v>
      </c>
      <c r="E9" s="5">
        <v>0.317137033360702</v>
      </c>
      <c r="F9" s="6">
        <v>0.504297994269341</v>
      </c>
    </row>
    <row r="10" customHeight="1" spans="1:6">
      <c r="A10" s="3">
        <v>6</v>
      </c>
      <c r="B10" s="4" t="s">
        <v>13</v>
      </c>
      <c r="C10" s="5">
        <v>0.693835234069702</v>
      </c>
      <c r="D10" s="6">
        <v>0.702005730659026</v>
      </c>
      <c r="E10" s="5">
        <v>0.228489075076029</v>
      </c>
      <c r="F10" s="6">
        <v>0.389684813753582</v>
      </c>
    </row>
    <row r="11" customHeight="1" spans="1:6">
      <c r="A11" s="3">
        <v>7</v>
      </c>
      <c r="B11" s="4" t="s">
        <v>14</v>
      </c>
      <c r="C11" s="5">
        <v>0.761274153036264</v>
      </c>
      <c r="D11" s="6">
        <v>0.693409742120344</v>
      </c>
      <c r="E11" s="5">
        <v>0.343549096489833</v>
      </c>
      <c r="F11" s="6">
        <v>0.484240687679083</v>
      </c>
    </row>
    <row r="12" customHeight="1" spans="1:6">
      <c r="A12" s="3">
        <v>8</v>
      </c>
      <c r="B12" s="4" t="s">
        <v>15</v>
      </c>
      <c r="C12" s="5">
        <v>0.692202110821024</v>
      </c>
      <c r="D12" s="6">
        <v>0.653295128939828</v>
      </c>
      <c r="E12" s="5">
        <v>0.34332402504497</v>
      </c>
      <c r="F12" s="6">
        <v>0.464183381088825</v>
      </c>
    </row>
    <row r="13" customHeight="1" spans="1:6">
      <c r="A13" s="3">
        <v>9</v>
      </c>
      <c r="B13" s="4" t="s">
        <v>16</v>
      </c>
      <c r="C13" s="5">
        <v>0.807438060374556</v>
      </c>
      <c r="D13" s="6">
        <v>0.779369627507163</v>
      </c>
      <c r="E13" s="5">
        <v>0.298197719871069</v>
      </c>
      <c r="F13" s="6">
        <v>0.498567335243553</v>
      </c>
    </row>
    <row r="14" customHeight="1" spans="1:6">
      <c r="A14" s="3">
        <v>10</v>
      </c>
      <c r="B14" s="4" t="s">
        <v>17</v>
      </c>
      <c r="C14" s="5">
        <v>0.785283219131439</v>
      </c>
      <c r="D14" s="6">
        <v>0.787965616045845</v>
      </c>
      <c r="E14" s="5">
        <v>0.379170093324275</v>
      </c>
      <c r="F14" s="6">
        <v>0.564469914040115</v>
      </c>
    </row>
    <row r="15" customHeight="1" spans="1:6">
      <c r="A15" s="3">
        <v>11</v>
      </c>
      <c r="B15" s="4" t="s">
        <v>18</v>
      </c>
      <c r="C15" s="5">
        <v>0.632263722455284</v>
      </c>
      <c r="D15" s="6">
        <v>0.693409742120344</v>
      </c>
      <c r="E15" s="5">
        <v>0.1803823268152</v>
      </c>
      <c r="F15" s="6">
        <v>0.372492836676218</v>
      </c>
    </row>
    <row r="16" customHeight="1" spans="1:6">
      <c r="A16" s="3">
        <v>12</v>
      </c>
      <c r="B16" s="4" t="s">
        <v>19</v>
      </c>
      <c r="C16" s="5">
        <v>0.337585501023516</v>
      </c>
      <c r="D16" s="6">
        <v>0.451149425287356</v>
      </c>
      <c r="E16" s="5">
        <v>0.201634192331867</v>
      </c>
      <c r="F16" s="6">
        <v>0.344827586206897</v>
      </c>
    </row>
    <row r="17" customHeight="1" spans="1:6">
      <c r="A17" s="3">
        <v>13</v>
      </c>
      <c r="B17" s="4" t="s">
        <v>20</v>
      </c>
      <c r="C17" s="5">
        <v>0.631039898313992</v>
      </c>
      <c r="D17" s="6">
        <v>0.624641833810888</v>
      </c>
      <c r="E17" s="5">
        <v>0.464019306713471</v>
      </c>
      <c r="F17" s="6">
        <v>0.561604584527221</v>
      </c>
    </row>
    <row r="18" customHeight="1" spans="1:6">
      <c r="A18" s="3">
        <v>14</v>
      </c>
      <c r="B18" s="4" t="s">
        <v>21</v>
      </c>
      <c r="C18" s="5">
        <v>0.71122976953543</v>
      </c>
      <c r="D18" s="6">
        <v>0.69054441260745</v>
      </c>
      <c r="E18" s="5">
        <v>0.38259570339858</v>
      </c>
      <c r="F18" s="6">
        <v>0.512893982808023</v>
      </c>
    </row>
    <row r="19" customHeight="1" spans="1:6">
      <c r="A19" s="3">
        <v>15</v>
      </c>
      <c r="B19" s="4" t="s">
        <v>22</v>
      </c>
      <c r="C19" s="5">
        <v>0.739377565532561</v>
      </c>
      <c r="D19" s="6">
        <v>0.722063037249284</v>
      </c>
      <c r="E19" s="5">
        <v>0.463432914700823</v>
      </c>
      <c r="F19" s="6">
        <v>0.598853868194842</v>
      </c>
    </row>
    <row r="20" customHeight="1" spans="1:6">
      <c r="A20" s="3">
        <v>16</v>
      </c>
      <c r="B20" s="4" t="s">
        <v>23</v>
      </c>
      <c r="C20" s="5">
        <v>0.55032827660385</v>
      </c>
      <c r="D20" s="6">
        <v>0.555873925501433</v>
      </c>
      <c r="E20" s="5">
        <v>0.301388715125735</v>
      </c>
      <c r="F20" s="6">
        <v>0.446991404011461</v>
      </c>
    </row>
    <row r="21" customHeight="1" spans="1:6">
      <c r="A21" s="3">
        <v>17</v>
      </c>
      <c r="B21" s="4" t="s">
        <v>24</v>
      </c>
      <c r="C21" s="5">
        <v>0.685346513143602</v>
      </c>
      <c r="D21" s="6">
        <v>0.653295128939828</v>
      </c>
      <c r="E21" s="5">
        <v>0.332010956380749</v>
      </c>
      <c r="F21" s="6">
        <v>0.492836676217765</v>
      </c>
    </row>
    <row r="22" customHeight="1" spans="1:6">
      <c r="A22" s="3">
        <v>18</v>
      </c>
      <c r="B22" s="4" t="s">
        <v>25</v>
      </c>
      <c r="C22" s="5">
        <v>0.35674522608834</v>
      </c>
      <c r="D22" s="6">
        <v>0.567335243553009</v>
      </c>
      <c r="E22" s="5">
        <v>0.136259983356569</v>
      </c>
      <c r="F22" s="6">
        <v>0.504297994269341</v>
      </c>
    </row>
    <row r="23" customHeight="1" spans="1:6">
      <c r="A23" s="3">
        <v>19</v>
      </c>
      <c r="B23" s="4" t="s">
        <v>26</v>
      </c>
      <c r="C23" s="5">
        <v>0.607176807469572</v>
      </c>
      <c r="D23" s="6">
        <v>0.575931232091691</v>
      </c>
      <c r="E23" s="5">
        <v>0.423807165263332</v>
      </c>
      <c r="F23" s="6">
        <v>0.510028653295129</v>
      </c>
    </row>
    <row r="24" customHeight="1" spans="1:6">
      <c r="A24" s="3">
        <v>20</v>
      </c>
      <c r="B24" s="4" t="s">
        <v>27</v>
      </c>
      <c r="C24" s="5">
        <v>0.432865309748998</v>
      </c>
      <c r="D24" s="6">
        <v>0.555873925501433</v>
      </c>
      <c r="E24" s="5">
        <v>0.241503844936114</v>
      </c>
      <c r="F24" s="6">
        <v>0.432664756446991</v>
      </c>
    </row>
    <row r="25" customHeight="1" spans="1:6">
      <c r="A25" s="3">
        <v>21</v>
      </c>
      <c r="B25" s="4" t="s">
        <v>28</v>
      </c>
      <c r="C25" s="5">
        <v>0.759095063096696</v>
      </c>
      <c r="D25" s="6">
        <v>0.722063037249284</v>
      </c>
      <c r="E25" s="5">
        <v>0.453340859380512</v>
      </c>
      <c r="F25" s="6">
        <v>0.570200573065903</v>
      </c>
    </row>
    <row r="26" customHeight="1" spans="1:6">
      <c r="A26" s="3">
        <v>22</v>
      </c>
      <c r="B26" s="4" t="s">
        <v>29</v>
      </c>
      <c r="C26" s="5">
        <v>0.760881831371917</v>
      </c>
      <c r="D26" s="6">
        <v>0.730659025787966</v>
      </c>
      <c r="E26" s="5">
        <v>0.335714378202002</v>
      </c>
      <c r="F26" s="6">
        <v>0.501432664756447</v>
      </c>
    </row>
    <row r="27" customHeight="1" spans="1:6">
      <c r="A27" s="3">
        <v>23</v>
      </c>
      <c r="B27" s="4" t="s">
        <v>30</v>
      </c>
      <c r="C27" s="5">
        <v>0.161585796688121</v>
      </c>
      <c r="D27" s="6">
        <v>0.492836676217765</v>
      </c>
      <c r="E27" s="5">
        <v>0.150152193375112</v>
      </c>
      <c r="F27" s="6">
        <v>0.613180515759312</v>
      </c>
    </row>
    <row r="28" customHeight="1" spans="1:6">
      <c r="A28" s="3">
        <v>24</v>
      </c>
      <c r="B28" s="4" t="s">
        <v>31</v>
      </c>
      <c r="C28" s="5">
        <v>0.309049924785903</v>
      </c>
      <c r="D28" s="6">
        <v>0.524355300859599</v>
      </c>
      <c r="E28" s="5">
        <v>0.180152792309059</v>
      </c>
      <c r="F28" s="6">
        <v>0.504297994269341</v>
      </c>
    </row>
    <row r="29" customHeight="1" spans="1:6">
      <c r="A29" s="3">
        <v>25</v>
      </c>
      <c r="B29" s="4" t="s">
        <v>32</v>
      </c>
      <c r="C29" s="5">
        <v>0.749301044428252</v>
      </c>
      <c r="D29" s="6">
        <v>0.722063037249284</v>
      </c>
      <c r="E29" s="5">
        <v>0.42554404170536</v>
      </c>
      <c r="F29" s="6">
        <v>0.616045845272206</v>
      </c>
    </row>
    <row r="30" customHeight="1" spans="1:6">
      <c r="A30" s="3">
        <v>26</v>
      </c>
      <c r="B30" s="4" t="s">
        <v>33</v>
      </c>
      <c r="C30" s="5">
        <v>0.673736912082433</v>
      </c>
      <c r="D30" s="6">
        <v>0.681948424068768</v>
      </c>
      <c r="E30" s="5">
        <v>0.359657128877765</v>
      </c>
      <c r="F30" s="6">
        <v>0.561604584527221</v>
      </c>
    </row>
    <row r="31" customHeight="1" spans="1:6">
      <c r="A31" s="3">
        <v>27</v>
      </c>
      <c r="B31" s="4" t="s">
        <v>34</v>
      </c>
      <c r="C31" s="5">
        <v>0.819135944337042</v>
      </c>
      <c r="D31" s="6">
        <v>0.816618911174785</v>
      </c>
      <c r="E31" s="5">
        <v>0.513189490783247</v>
      </c>
      <c r="F31" s="6">
        <v>0.687679083094556</v>
      </c>
    </row>
    <row r="32" customHeight="1" spans="1:6">
      <c r="A32" s="3">
        <v>28</v>
      </c>
      <c r="B32" s="4" t="s">
        <v>35</v>
      </c>
      <c r="C32" s="5">
        <v>0.871057058284035</v>
      </c>
      <c r="D32" s="6">
        <v>0.893982808022923</v>
      </c>
      <c r="E32" s="5">
        <v>0.585302246095923</v>
      </c>
      <c r="F32" s="6">
        <v>0.759312320916905</v>
      </c>
    </row>
    <row r="33" customHeight="1" spans="1:6">
      <c r="A33" s="3">
        <v>29</v>
      </c>
      <c r="B33" s="4" t="s">
        <v>36</v>
      </c>
      <c r="C33" s="5">
        <v>0.575941676792224</v>
      </c>
      <c r="D33" s="6">
        <v>0.710601719197708</v>
      </c>
      <c r="E33" s="5">
        <v>0.343042483334992</v>
      </c>
      <c r="F33" s="6">
        <v>0.59025787965616</v>
      </c>
    </row>
    <row r="34" customHeight="1" spans="1:6">
      <c r="A34" s="3">
        <v>30</v>
      </c>
      <c r="B34" s="4" t="s">
        <v>37</v>
      </c>
      <c r="C34" s="5">
        <v>0.485647637545507</v>
      </c>
      <c r="D34" s="6">
        <v>0.59025787965616</v>
      </c>
      <c r="E34" s="5">
        <v>0.317969348321728</v>
      </c>
      <c r="F34" s="6">
        <v>0.492836676217765</v>
      </c>
    </row>
    <row r="35" customHeight="1" spans="1:6">
      <c r="A35" s="7"/>
      <c r="B35" s="8" t="s">
        <v>38</v>
      </c>
      <c r="C35" s="9">
        <f>IFERROR(AVERAGE(C5,C6,C7,C8,C9,C10),"N/A")</f>
        <v>0.76019417040345</v>
      </c>
      <c r="D35" s="10">
        <f>IFERROR(AVERAGE(D5,D6,D7,D8,D9,D10),"N/A")</f>
        <v>0.741642788920726</v>
      </c>
      <c r="E35" s="9">
        <f>IFERROR(AVERAGE(E5,E6,E7,E8,E9,E10),"N/A")</f>
        <v>0.352374256888033</v>
      </c>
      <c r="F35" s="10">
        <f>IFERROR(AVERAGE(F5,F6,F7,F8,F9,F10),"N/A")</f>
        <v>0.527220630372493</v>
      </c>
    </row>
    <row r="36" customHeight="1" spans="1:6">
      <c r="A36" s="7"/>
      <c r="B36" s="8" t="s">
        <v>39</v>
      </c>
      <c r="C36" s="9">
        <f>IFERROR(AVERAGE(C11,C12,C13,C14,C15,C16),"N/A")</f>
        <v>0.669341127807014</v>
      </c>
      <c r="D36" s="10">
        <f>IFERROR(AVERAGE(D11,D12,D13,D14,D15,D16),"N/A")</f>
        <v>0.676433213670147</v>
      </c>
      <c r="E36" s="9">
        <f>IFERROR(AVERAGE(E11,E12,E13,E14,E15,E16),"N/A")</f>
        <v>0.291042908979535</v>
      </c>
      <c r="F36" s="10">
        <f>IFERROR(AVERAGE(F11,F12,F13,F14,F15,F16),"N/A")</f>
        <v>0.454796956822448</v>
      </c>
    </row>
    <row r="37" customHeight="1" spans="1:6">
      <c r="A37" s="7"/>
      <c r="B37" s="8" t="s">
        <v>40</v>
      </c>
      <c r="C37" s="9">
        <f>IFERROR(AVERAGE(C17,C18,C19,C20,C21,C22),"N/A")</f>
        <v>0.612344541536296</v>
      </c>
      <c r="D37" s="10">
        <f>IFERROR(AVERAGE(D17,D18,D19,D20,D21,D22),"N/A")</f>
        <v>0.635625596943648</v>
      </c>
      <c r="E37" s="9">
        <f>IFERROR(AVERAGE(E17,E18,E19,E20,E21,E22),"N/A")</f>
        <v>0.346617929945988</v>
      </c>
      <c r="F37" s="10">
        <f>IFERROR(AVERAGE(F17,F18,F19,F20,F21,F22),"N/A")</f>
        <v>0.519579751671442</v>
      </c>
    </row>
    <row r="38" customHeight="1" spans="1:6">
      <c r="A38" s="7"/>
      <c r="B38" s="8" t="s">
        <v>41</v>
      </c>
      <c r="C38" s="9">
        <f>IFERROR(AVERAGE(C23,C24,C25,C26,C27,C28),"N/A")</f>
        <v>0.505109122193534</v>
      </c>
      <c r="D38" s="10">
        <f>IFERROR(AVERAGE(D23,D24,D25,D26,D27,D28),"N/A")</f>
        <v>0.600286532951289</v>
      </c>
      <c r="E38" s="9">
        <f>IFERROR(AVERAGE(E23,E24,E25,E26,E27,E28),"N/A")</f>
        <v>0.297445205577688</v>
      </c>
      <c r="F38" s="10">
        <f>IFERROR(AVERAGE(F23,F24,F25,F26,F27,F28),"N/A")</f>
        <v>0.521967526265521</v>
      </c>
    </row>
    <row r="39" customHeight="1" spans="1:6">
      <c r="A39" s="7"/>
      <c r="B39" s="8" t="s">
        <v>42</v>
      </c>
      <c r="C39" s="9">
        <f>IFERROR(AVERAGE(C29,C30,C31,C32,C33,C34),"N/A")</f>
        <v>0.695803378911582</v>
      </c>
      <c r="D39" s="10">
        <f>IFERROR(AVERAGE(D29,D30,D31,D32,D33,D34),"N/A")</f>
        <v>0.735912129894938</v>
      </c>
      <c r="E39" s="9">
        <f>IFERROR(AVERAGE(E29,E30,E31,E32,E33,E34),"N/A")</f>
        <v>0.424117456519836</v>
      </c>
      <c r="F39" s="10">
        <f>IFERROR(AVERAGE(F29,F30,F31,F32,F33,F34),"N/A")</f>
        <v>0.617956064947469</v>
      </c>
    </row>
    <row r="40" customHeight="1" spans="1:6">
      <c r="A40" s="7"/>
      <c r="B40" s="8" t="s">
        <v>43</v>
      </c>
      <c r="C40" s="9">
        <f>IFERROR(AVERAGE(C5,C6,C11,C12,C17,C18,C23,C24,C29,C30),"N/A")</f>
        <v>0.675664517951199</v>
      </c>
      <c r="D40" s="10">
        <f>IFERROR(AVERAGE(D5,D6,D11,D12,D17,D18,D23,D24,D29,D30),"N/A")</f>
        <v>0.665042979942693</v>
      </c>
      <c r="E40" s="9">
        <f>IFERROR(AVERAGE(E5,E6,E11,E12,E17,E18,E23,E24,E29,E30),"N/A")</f>
        <v>0.380596078554231</v>
      </c>
      <c r="F40" s="10">
        <f>IFERROR(AVERAGE(F5,F6,F11,F12,F17,F18,F23,F24,F29,F30),"N/A")</f>
        <v>0.527793696275072</v>
      </c>
    </row>
    <row r="41" customHeight="1" spans="1:6">
      <c r="A41" s="7"/>
      <c r="B41" s="8" t="s">
        <v>44</v>
      </c>
      <c r="C41" s="9">
        <f>IFERROR(AVERAGE(C7,C8,C13,C14,C19,C20,C25,C26,C31,C32),"N/A")</f>
        <v>0.769190439346535</v>
      </c>
      <c r="D41" s="10">
        <f>IFERROR(AVERAGE(D7,D8,D13,D14,D19,D20,D25,D26,D31,D32),"N/A")</f>
        <v>0.755300859598854</v>
      </c>
      <c r="E41" s="9">
        <f>IFERROR(AVERAGE(E7,E8,E13,E14,E19,E20,E25,E26,E31,E32),"N/A")</f>
        <v>0.407639537726217</v>
      </c>
      <c r="F41" s="10">
        <f>IFERROR(AVERAGE(F7,F8,F13,F14,F19,F20,F25,F26,F31,F32),"N/A")</f>
        <v>0.57621776504298</v>
      </c>
    </row>
    <row r="42" customHeight="1" spans="1:6">
      <c r="A42" s="7"/>
      <c r="B42" s="8" t="s">
        <v>45</v>
      </c>
      <c r="C42" s="9">
        <f>IFERROR(AVERAGE(C9,C10,C15,C16,C21,C22,C27,C28,C33,C34),"N/A")</f>
        <v>0.500820447213392</v>
      </c>
      <c r="D42" s="10">
        <f>IFERROR(AVERAGE(D9,D10,D15,D16,D21,D22,D27,D28,D33,D34),"N/A")</f>
        <v>0.613596317886902</v>
      </c>
      <c r="E42" s="9">
        <f>IFERROR(AVERAGE(E9,E10,E15,E16,E21,E22,E27,E28,E33,E34),"N/A")</f>
        <v>0.238723038466201</v>
      </c>
      <c r="F42" s="10">
        <f>IFERROR(AVERAGE(F9,F10,F15,F16,F21,F22,F27,F28,F33,F34),"N/A")</f>
        <v>0.480901096729572</v>
      </c>
    </row>
    <row r="43" customHeight="1" spans="1:6">
      <c r="A43" s="11"/>
      <c r="B43" s="12" t="s">
        <v>46</v>
      </c>
      <c r="C43" s="13">
        <f>IFERROR(AVERAGE(C5,C6,C7,C8,C9,C10,C11,C12,C13,C14,C15,C16,C17,C18,C19,C20,C21,C22,C23,C24,C25,C26,C27,C28,C29,C30,C31,C32,C33,C34),"N/A")</f>
        <v>0.648558468170375</v>
      </c>
      <c r="D43" s="14">
        <f>IFERROR(AVERAGE(D5,D6,D7,D8,D9,D10,D11,D12,D13,D14,D15,D16,D17,D18,D19,D20,D21,D22,D23,D24,D25,D26,D27,D28,D29,D30,D31,D32,D33,D34),"N/A")</f>
        <v>0.67798005247615</v>
      </c>
      <c r="E43" s="13">
        <f>IFERROR(AVERAGE(E5,E6,E7,E8,E9,E10,E11,E12,E13,E14,E15,E16,E17,E18,E19,E20,E21,E22,E23,E24,E25,E26,E27,E28,E29,E30,E31,E32,E33,E34),"N/A")</f>
        <v>0.342319551582216</v>
      </c>
      <c r="F43" s="14">
        <f>IFERROR(AVERAGE(F5,F6,F7,F8,F9,F10,F11,F12,F13,F14,F15,F16,F17,F18,F19,F20,F21,F22,F23,F24,F25,F26,F27,F28,F29,F30,F31,F32,F33,F34),"N/A")</f>
        <v>0.528304186015875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showGridLines="0" tabSelected="1" workbookViewId="0">
      <pane ySplit="4" topLeftCell="A5" activePane="bottomLeft" state="frozen"/>
      <selection/>
      <selection pane="bottomLeft" activeCell="D56" sqref="D56"/>
    </sheetView>
  </sheetViews>
  <sheetFormatPr defaultColWidth="9" defaultRowHeight="16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58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0.738251469751565</v>
      </c>
      <c r="D5" s="6">
        <v>0.720388349514563</v>
      </c>
      <c r="E5" s="5">
        <v>0.238813086340116</v>
      </c>
      <c r="F5" s="6">
        <v>0.570873786407767</v>
      </c>
    </row>
    <row r="6" customHeight="1" spans="1:6">
      <c r="A6" s="3">
        <v>2</v>
      </c>
      <c r="B6" s="4" t="s">
        <v>8</v>
      </c>
      <c r="C6" s="5">
        <v>0.741810906277256</v>
      </c>
      <c r="D6" s="6">
        <v>0.714563106796116</v>
      </c>
      <c r="E6" s="5">
        <v>0.221910530422272</v>
      </c>
      <c r="F6" s="6">
        <v>0.497087378640777</v>
      </c>
    </row>
    <row r="7" customHeight="1" spans="1:6">
      <c r="A7" s="3">
        <v>3</v>
      </c>
      <c r="B7" s="4" t="s">
        <v>10</v>
      </c>
      <c r="C7" s="5">
        <v>0.753149329647675</v>
      </c>
      <c r="D7" s="6">
        <v>0.733980582524272</v>
      </c>
      <c r="E7" s="5">
        <v>0.30837457325292</v>
      </c>
      <c r="F7" s="6">
        <v>0.580582524271845</v>
      </c>
    </row>
    <row r="8" customHeight="1" spans="1:6">
      <c r="A8" s="3">
        <v>4</v>
      </c>
      <c r="B8" s="4" t="s">
        <v>11</v>
      </c>
      <c r="C8" s="5">
        <v>0.730622973685779</v>
      </c>
      <c r="D8" s="6">
        <v>0.72621359223301</v>
      </c>
      <c r="E8" s="5">
        <v>0.277884829326247</v>
      </c>
      <c r="F8" s="6">
        <v>0.500970873786408</v>
      </c>
    </row>
    <row r="9" customHeight="1" spans="1:6">
      <c r="A9" s="3">
        <v>5</v>
      </c>
      <c r="B9" s="4" t="s">
        <v>12</v>
      </c>
      <c r="C9" s="5">
        <v>0.702540092327215</v>
      </c>
      <c r="D9" s="6">
        <v>0.702912621359223</v>
      </c>
      <c r="E9" s="5">
        <v>0.190476970183223</v>
      </c>
      <c r="F9" s="6">
        <v>0.458252427184466</v>
      </c>
    </row>
    <row r="10" customHeight="1" spans="1:6">
      <c r="A10" s="3">
        <v>6</v>
      </c>
      <c r="B10" s="4" t="s">
        <v>13</v>
      </c>
      <c r="C10" s="5">
        <v>0.569879546472432</v>
      </c>
      <c r="D10" s="6">
        <v>0.583657587548638</v>
      </c>
      <c r="E10" s="5">
        <v>0.123465211459754</v>
      </c>
      <c r="F10" s="6">
        <v>0.340466926070039</v>
      </c>
    </row>
    <row r="11" customHeight="1" spans="1:6">
      <c r="A11" s="3">
        <v>7</v>
      </c>
      <c r="B11" s="4" t="s">
        <v>14</v>
      </c>
      <c r="C11" s="5">
        <v>0.646946212028548</v>
      </c>
      <c r="D11" s="6">
        <v>0.718446601941748</v>
      </c>
      <c r="E11" s="5">
        <v>0.244028960419201</v>
      </c>
      <c r="F11" s="6">
        <v>0.625242718446602</v>
      </c>
    </row>
    <row r="12" customHeight="1" spans="1:6">
      <c r="A12" s="3">
        <v>8</v>
      </c>
      <c r="B12" s="4" t="s">
        <v>15</v>
      </c>
      <c r="C12" s="5">
        <v>0.660837969796753</v>
      </c>
      <c r="D12" s="6">
        <v>0.636893203883495</v>
      </c>
      <c r="E12" s="5">
        <v>0.185279153381725</v>
      </c>
      <c r="F12" s="6">
        <v>0.438834951456311</v>
      </c>
    </row>
    <row r="13" customHeight="1" spans="1:6">
      <c r="A13" s="3">
        <v>9</v>
      </c>
      <c r="B13" s="4" t="s">
        <v>16</v>
      </c>
      <c r="C13" s="5">
        <v>0.76414439511602</v>
      </c>
      <c r="D13" s="6">
        <v>0.762645914396887</v>
      </c>
      <c r="E13" s="5">
        <v>0.306678140969546</v>
      </c>
      <c r="F13" s="6">
        <v>0.579766536964981</v>
      </c>
    </row>
    <row r="14" customHeight="1" spans="1:6">
      <c r="A14" s="3">
        <v>10</v>
      </c>
      <c r="B14" s="4" t="s">
        <v>17</v>
      </c>
      <c r="C14" s="5">
        <v>0.771143988293489</v>
      </c>
      <c r="D14" s="6">
        <v>0.801941747572816</v>
      </c>
      <c r="E14" s="5">
        <v>0.305338372251255</v>
      </c>
      <c r="F14" s="6">
        <v>0.625242718446602</v>
      </c>
    </row>
    <row r="15" customHeight="1" spans="1:6">
      <c r="A15" s="3">
        <v>11</v>
      </c>
      <c r="B15" s="4" t="s">
        <v>18</v>
      </c>
      <c r="C15" s="5">
        <v>0.714644801206152</v>
      </c>
      <c r="D15" s="6">
        <v>0.658252427184466</v>
      </c>
      <c r="E15" s="5">
        <v>0.228895964202736</v>
      </c>
      <c r="F15" s="6">
        <v>0.423300970873786</v>
      </c>
    </row>
    <row r="16" customHeight="1" spans="1:6">
      <c r="A16" s="3">
        <v>12</v>
      </c>
      <c r="B16" s="4" t="s">
        <v>19</v>
      </c>
      <c r="C16" s="5">
        <v>0.552254767162479</v>
      </c>
      <c r="D16" s="6">
        <v>0.555339805825243</v>
      </c>
      <c r="E16" s="5">
        <v>0.240818160557703</v>
      </c>
      <c r="F16" s="6">
        <v>0.394174757281553</v>
      </c>
    </row>
    <row r="17" customHeight="1" spans="1:6">
      <c r="A17" s="3">
        <v>13</v>
      </c>
      <c r="B17" s="4" t="s">
        <v>20</v>
      </c>
      <c r="C17" s="5">
        <v>0.658722914765126</v>
      </c>
      <c r="D17" s="6">
        <v>0.699029126213592</v>
      </c>
      <c r="E17" s="5">
        <v>0.251489672997038</v>
      </c>
      <c r="F17" s="6">
        <v>0.601941747572815</v>
      </c>
    </row>
    <row r="18" customHeight="1" spans="1:6">
      <c r="A18" s="3">
        <v>14</v>
      </c>
      <c r="B18" s="4" t="s">
        <v>21</v>
      </c>
      <c r="C18" s="5">
        <v>0.623051317069887</v>
      </c>
      <c r="D18" s="6">
        <v>0.592233009708738</v>
      </c>
      <c r="E18" s="5">
        <v>0.294864688078582</v>
      </c>
      <c r="F18" s="6">
        <v>0.454368932038835</v>
      </c>
    </row>
    <row r="19" customHeight="1" spans="1:6">
      <c r="A19" s="3">
        <v>15</v>
      </c>
      <c r="B19" s="4" t="s">
        <v>22</v>
      </c>
      <c r="C19" s="5">
        <v>0.737887458569708</v>
      </c>
      <c r="D19" s="6">
        <v>0.747572815533981</v>
      </c>
      <c r="E19" s="5">
        <v>0.255168077134697</v>
      </c>
      <c r="F19" s="6">
        <v>0.580582524271845</v>
      </c>
    </row>
    <row r="20" customHeight="1" spans="1:6">
      <c r="A20" s="3">
        <v>16</v>
      </c>
      <c r="B20" s="4" t="s">
        <v>23</v>
      </c>
      <c r="C20" s="5">
        <v>0.590991454089828</v>
      </c>
      <c r="D20" s="6">
        <v>0.545631067961165</v>
      </c>
      <c r="E20" s="5">
        <v>0.24493771466653</v>
      </c>
      <c r="F20" s="6">
        <v>0.413592233009709</v>
      </c>
    </row>
    <row r="21" customHeight="1" spans="1:6">
      <c r="A21" s="3">
        <v>17</v>
      </c>
      <c r="B21" s="4" t="s">
        <v>24</v>
      </c>
      <c r="C21" s="5">
        <v>0.68534000477729</v>
      </c>
      <c r="D21" s="6">
        <v>0.67378640776699</v>
      </c>
      <c r="E21" s="5">
        <v>0.170112697413228</v>
      </c>
      <c r="F21" s="6">
        <v>0.499029126213592</v>
      </c>
    </row>
    <row r="22" customHeight="1" spans="1:6">
      <c r="A22" s="3">
        <v>18</v>
      </c>
      <c r="B22" s="4" t="s">
        <v>25</v>
      </c>
      <c r="C22" s="5">
        <v>0.383035073389273</v>
      </c>
      <c r="D22" s="6">
        <v>0.543689320388349</v>
      </c>
      <c r="E22" s="5">
        <v>0.137348672791044</v>
      </c>
      <c r="F22" s="6">
        <v>0.479611650485437</v>
      </c>
    </row>
    <row r="23" customHeight="1" spans="1:6">
      <c r="A23" s="3">
        <v>19</v>
      </c>
      <c r="B23" s="4" t="s">
        <v>26</v>
      </c>
      <c r="C23" s="5">
        <v>0.529860512624086</v>
      </c>
      <c r="D23" s="6">
        <v>0.642718446601942</v>
      </c>
      <c r="E23" s="5">
        <v>0.215145813734713</v>
      </c>
      <c r="F23" s="6">
        <v>0.510679611650485</v>
      </c>
    </row>
    <row r="24" customHeight="1" spans="1:6">
      <c r="A24" s="3">
        <v>20</v>
      </c>
      <c r="B24" s="4" t="s">
        <v>27</v>
      </c>
      <c r="C24" s="5">
        <v>0.583942394725821</v>
      </c>
      <c r="D24" s="6">
        <v>0.594174757281553</v>
      </c>
      <c r="E24" s="5">
        <v>0.205019423430791</v>
      </c>
      <c r="F24" s="6">
        <v>0.398058252427184</v>
      </c>
    </row>
    <row r="25" customHeight="1" spans="1:6">
      <c r="A25" s="3">
        <v>21</v>
      </c>
      <c r="B25" s="4" t="s">
        <v>28</v>
      </c>
      <c r="C25" s="5">
        <v>0.695317572929944</v>
      </c>
      <c r="D25" s="6">
        <v>0.70873786407767</v>
      </c>
      <c r="E25" s="5">
        <v>0.337818643941093</v>
      </c>
      <c r="F25" s="6">
        <v>0.563106796116505</v>
      </c>
    </row>
    <row r="26" customHeight="1" spans="1:6">
      <c r="A26" s="3">
        <v>22</v>
      </c>
      <c r="B26" s="4" t="s">
        <v>29</v>
      </c>
      <c r="C26" s="5">
        <v>0.681098461566688</v>
      </c>
      <c r="D26" s="6">
        <v>0.667961165048544</v>
      </c>
      <c r="E26" s="5">
        <v>0.263259055125021</v>
      </c>
      <c r="F26" s="6">
        <v>0.47378640776699</v>
      </c>
    </row>
    <row r="27" customHeight="1" spans="1:6">
      <c r="A27" s="3">
        <v>23</v>
      </c>
      <c r="B27" s="4" t="s">
        <v>30</v>
      </c>
      <c r="C27" s="5">
        <v>0.145800540350053</v>
      </c>
      <c r="D27" s="6">
        <v>0.514563106796116</v>
      </c>
      <c r="E27" s="5">
        <v>0.126583992785273</v>
      </c>
      <c r="F27" s="6">
        <v>0.61747572815534</v>
      </c>
    </row>
    <row r="28" customHeight="1" spans="1:6">
      <c r="A28" s="3">
        <v>24</v>
      </c>
      <c r="B28" s="4" t="s">
        <v>31</v>
      </c>
      <c r="C28" s="5">
        <v>0.383966087309323</v>
      </c>
      <c r="D28" s="6">
        <v>0.560311284046693</v>
      </c>
      <c r="E28" s="5">
        <v>0.138974598422089</v>
      </c>
      <c r="F28" s="6">
        <v>0.463035019455253</v>
      </c>
    </row>
    <row r="29" customHeight="1" spans="1:6">
      <c r="A29" s="3">
        <v>25</v>
      </c>
      <c r="B29" s="4" t="s">
        <v>32</v>
      </c>
      <c r="C29" s="5">
        <v>0.658760004417346</v>
      </c>
      <c r="D29" s="6">
        <v>0.749514563106796</v>
      </c>
      <c r="E29" s="5">
        <v>0.284910023630158</v>
      </c>
      <c r="F29" s="6">
        <v>0.631067961165049</v>
      </c>
    </row>
    <row r="30" customHeight="1" spans="1:6">
      <c r="A30" s="3">
        <v>26</v>
      </c>
      <c r="B30" s="4" t="s">
        <v>33</v>
      </c>
      <c r="C30" s="5">
        <v>0.686414782727164</v>
      </c>
      <c r="D30" s="6">
        <v>0.761165048543689</v>
      </c>
      <c r="E30" s="5">
        <v>0.28371082296365</v>
      </c>
      <c r="F30" s="6">
        <v>0.584466019417476</v>
      </c>
    </row>
    <row r="31" customHeight="1" spans="1:6">
      <c r="A31" s="3">
        <v>27</v>
      </c>
      <c r="B31" s="4" t="s">
        <v>34</v>
      </c>
      <c r="C31" s="5">
        <v>0.777869714667993</v>
      </c>
      <c r="D31" s="6">
        <v>0.811650485436893</v>
      </c>
      <c r="E31" s="5">
        <v>0.370367381523998</v>
      </c>
      <c r="F31" s="6">
        <v>0.638834951456311</v>
      </c>
    </row>
    <row r="32" customHeight="1" spans="1:6">
      <c r="A32" s="3">
        <v>28</v>
      </c>
      <c r="B32" s="4" t="s">
        <v>35</v>
      </c>
      <c r="C32" s="5">
        <v>0.854153010117894</v>
      </c>
      <c r="D32" s="6">
        <v>0.897087378640777</v>
      </c>
      <c r="E32" s="5">
        <v>0.484955853358859</v>
      </c>
      <c r="F32" s="6">
        <v>0.70873786407767</v>
      </c>
    </row>
    <row r="33" customHeight="1" spans="1:6">
      <c r="A33" s="3">
        <v>29</v>
      </c>
      <c r="B33" s="4" t="s">
        <v>36</v>
      </c>
      <c r="C33" s="5">
        <v>0.556237514140612</v>
      </c>
      <c r="D33" s="6">
        <v>0.706796116504854</v>
      </c>
      <c r="E33" s="5">
        <v>0.27616370462153</v>
      </c>
      <c r="F33" s="6">
        <v>0.543689320388349</v>
      </c>
    </row>
    <row r="34" customHeight="1" spans="1:6">
      <c r="A34" s="3">
        <v>30</v>
      </c>
      <c r="B34" s="4" t="s">
        <v>37</v>
      </c>
      <c r="C34" s="5">
        <v>0.568427899600939</v>
      </c>
      <c r="D34" s="6">
        <v>0.629126213592233</v>
      </c>
      <c r="E34" s="5">
        <v>0.373280195378169</v>
      </c>
      <c r="F34" s="6">
        <v>0.528155339805825</v>
      </c>
    </row>
    <row r="35" customHeight="1" spans="1:6">
      <c r="A35" s="7"/>
      <c r="B35" s="8" t="s">
        <v>38</v>
      </c>
      <c r="C35" s="9">
        <f>IFERROR(AVERAGE(C5,C6,C7,C8,C9,C10),"N/A")</f>
        <v>0.70604238636032</v>
      </c>
      <c r="D35" s="10">
        <f>IFERROR(AVERAGE(D5,D6,D7,D8,D9,D10),"N/A")</f>
        <v>0.69695263999597</v>
      </c>
      <c r="E35" s="9">
        <f>IFERROR(AVERAGE(E5,E6,E7,E8,E9,E10),"N/A")</f>
        <v>0.226820866830755</v>
      </c>
      <c r="F35" s="10">
        <f>IFERROR(AVERAGE(F5,F6,F7,F8,F9,F10),"N/A")</f>
        <v>0.49137231939355</v>
      </c>
    </row>
    <row r="36" customHeight="1" spans="1:6">
      <c r="A36" s="7"/>
      <c r="B36" s="8" t="s">
        <v>39</v>
      </c>
      <c r="C36" s="9">
        <f>IFERROR(AVERAGE(C11,C12,C13,C14,C15,C16),"N/A")</f>
        <v>0.684995355600573</v>
      </c>
      <c r="D36" s="10">
        <f>IFERROR(AVERAGE(D11,D12,D13,D14,D15,D16),"N/A")</f>
        <v>0.688919950134109</v>
      </c>
      <c r="E36" s="9">
        <f>IFERROR(AVERAGE(E11,E12,E13,E14,E15,E16),"N/A")</f>
        <v>0.251839791963694</v>
      </c>
      <c r="F36" s="10">
        <f>IFERROR(AVERAGE(F11,F12,F13,F14,F15,F16),"N/A")</f>
        <v>0.514427108911639</v>
      </c>
    </row>
    <row r="37" customHeight="1" spans="1:6">
      <c r="A37" s="7"/>
      <c r="B37" s="8" t="s">
        <v>40</v>
      </c>
      <c r="C37" s="9">
        <f>IFERROR(AVERAGE(C17,C18,C19,C20,C21,C22),"N/A")</f>
        <v>0.613171370443519</v>
      </c>
      <c r="D37" s="10">
        <f>IFERROR(AVERAGE(D17,D18,D19,D20,D21,D22),"N/A")</f>
        <v>0.633656957928803</v>
      </c>
      <c r="E37" s="9">
        <f>IFERROR(AVERAGE(E17,E18,E19,E20,E21,E22),"N/A")</f>
        <v>0.225653587180187</v>
      </c>
      <c r="F37" s="10">
        <f>IFERROR(AVERAGE(F17,F18,F19,F20,F21,F22),"N/A")</f>
        <v>0.504854368932039</v>
      </c>
    </row>
    <row r="38" customHeight="1" spans="1:6">
      <c r="A38" s="7"/>
      <c r="B38" s="8" t="s">
        <v>41</v>
      </c>
      <c r="C38" s="9">
        <f>IFERROR(AVERAGE(C23,C24,C25,C26,C27,C28),"N/A")</f>
        <v>0.503330928250986</v>
      </c>
      <c r="D38" s="10">
        <f>IFERROR(AVERAGE(D23,D24,D25,D26,D27,D28),"N/A")</f>
        <v>0.614744437308753</v>
      </c>
      <c r="E38" s="9">
        <f>IFERROR(AVERAGE(E23,E24,E25,E26,E27,E28),"N/A")</f>
        <v>0.21446692123983</v>
      </c>
      <c r="F38" s="10">
        <f>IFERROR(AVERAGE(F23,F24,F25,F26,F27,F28),"N/A")</f>
        <v>0.50435696926196</v>
      </c>
    </row>
    <row r="39" customHeight="1" spans="1:6">
      <c r="A39" s="7"/>
      <c r="B39" s="8" t="s">
        <v>42</v>
      </c>
      <c r="C39" s="9">
        <f>IFERROR(AVERAGE(C29,C30,C31,C32,C33,C34),"N/A")</f>
        <v>0.683643820945325</v>
      </c>
      <c r="D39" s="10">
        <f>IFERROR(AVERAGE(D29,D30,D31,D32,D33,D34),"N/A")</f>
        <v>0.759223300970874</v>
      </c>
      <c r="E39" s="9">
        <f>IFERROR(AVERAGE(E29,E30,E31,E32,E33,E34),"N/A")</f>
        <v>0.345564663579394</v>
      </c>
      <c r="F39" s="10">
        <f>IFERROR(AVERAGE(F29,F30,F31,F32,F33,F34),"N/A")</f>
        <v>0.605825242718447</v>
      </c>
    </row>
    <row r="40" customHeight="1" spans="1:6">
      <c r="A40" s="7"/>
      <c r="B40" s="8" t="s">
        <v>43</v>
      </c>
      <c r="C40" s="9">
        <f>IFERROR(AVERAGE(C5,C6,C11,C12,C17,C18,C23,C24,C29,C30),"N/A")</f>
        <v>0.652859848418355</v>
      </c>
      <c r="D40" s="10">
        <f>IFERROR(AVERAGE(D5,D6,D11,D12,D17,D18,D23,D24,D29,D30),"N/A")</f>
        <v>0.682912621359223</v>
      </c>
      <c r="E40" s="9">
        <f>IFERROR(AVERAGE(E5,E6,E11,E12,E17,E18,E23,E24,E29,E30),"N/A")</f>
        <v>0.242517217539825</v>
      </c>
      <c r="F40" s="10">
        <f>IFERROR(AVERAGE(F5,F6,F11,F12,F17,F18,F23,F24,F29,F30),"N/A")</f>
        <v>0.53126213592233</v>
      </c>
    </row>
    <row r="41" customHeight="1" spans="1:6">
      <c r="A41" s="7"/>
      <c r="B41" s="8" t="s">
        <v>44</v>
      </c>
      <c r="C41" s="9">
        <f>IFERROR(AVERAGE(C7,C8,C13,C14,C19,C20,C25,C26,C31,C32),"N/A")</f>
        <v>0.735637835868502</v>
      </c>
      <c r="D41" s="10">
        <f>IFERROR(AVERAGE(D7,D8,D13,D14,D19,D20,D25,D26,D31,D32),"N/A")</f>
        <v>0.740342261342601</v>
      </c>
      <c r="E41" s="9">
        <f>IFERROR(AVERAGE(E7,E8,E13,E14,E19,E20,E25,E26,E31,E32),"N/A")</f>
        <v>0.315478264155017</v>
      </c>
      <c r="F41" s="10">
        <f>IFERROR(AVERAGE(F7,F8,F13,F14,F19,F20,F25,F26,F31,F32),"N/A")</f>
        <v>0.566520343016886</v>
      </c>
    </row>
    <row r="42" customHeight="1" spans="1:6">
      <c r="A42" s="7"/>
      <c r="B42" s="8" t="s">
        <v>45</v>
      </c>
      <c r="C42" s="9">
        <f>IFERROR(AVERAGE(C9,C10,C15,C16,C21,C22,C27,C28,C33,C34),"N/A")</f>
        <v>0.526212632673577</v>
      </c>
      <c r="D42" s="10">
        <f>IFERROR(AVERAGE(D9,D10,D15,D16,D21,D22,D27,D28,D33,D34),"N/A")</f>
        <v>0.612843489101281</v>
      </c>
      <c r="E42" s="9">
        <f>IFERROR(AVERAGE(E9,E10,E15,E16,E21,E22,E27,E28,E33,E34),"N/A")</f>
        <v>0.200612016781475</v>
      </c>
      <c r="F42" s="10">
        <f>IFERROR(AVERAGE(F9,F10,F15,F16,F21,F22,F27,F28,F33,F34),"N/A")</f>
        <v>0.474719126591364</v>
      </c>
    </row>
    <row r="43" customHeight="1" spans="1:6">
      <c r="A43" s="11"/>
      <c r="B43" s="12" t="s">
        <v>46</v>
      </c>
      <c r="C43" s="13">
        <f>IFERROR(AVERAGE(C5,C6,C7,C8,C9,C10,C11,C12,C13,C14,C15,C16,C17,C18,C19,C20,C21,C22,C23,C24,C25,C26,C27,C28,C29,C30,C31,C32,C33,C34),"N/A")</f>
        <v>0.638236772320145</v>
      </c>
      <c r="D43" s="14">
        <f>IFERROR(AVERAGE(D5,D6,D7,D8,D9,D10,D11,D12,D13,D14,D15,D16,D17,D18,D19,D20,D21,D22,D23,D24,D25,D26,D27,D28,D29,D30,D31,D32,D33,D34),"N/A")</f>
        <v>0.678699457267702</v>
      </c>
      <c r="E43" s="13">
        <f>IFERROR(AVERAGE(E5,E6,E7,E8,E9,E10,E11,E12,E13,E14,E15,E16,E17,E18,E19,E20,E21,E22,E23,E24,E25,E26,E27,E28,E29,E30,E31,E32,E33,E34),"N/A")</f>
        <v>0.252869166158772</v>
      </c>
      <c r="F43" s="14">
        <f>IFERROR(AVERAGE(F5,F6,F7,F8,F9,F10,F11,F12,F13,F14,F15,F16,F17,F18,F19,F20,F21,F22,F23,F24,F25,F26,F27,F28,F29,F30,F31,F32,F33,F34),"N/A")</f>
        <v>0.524167201843527</v>
      </c>
    </row>
    <row r="45" customHeight="1" spans="1:6">
      <c r="B45" t="s">
        <v>47</v>
      </c>
    </row>
    <row r="46" customHeight="1" spans="1:6">
      <c r="B46" t="s">
        <v>48</v>
      </c>
    </row>
    <row r="47" customHeight="1" spans="1:6">
      <c r="B47" t="s">
        <v>49</v>
      </c>
    </row>
    <row r="48" customHeight="1" spans="1:6">
      <c r="B48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Water_Systems</vt:lpstr>
      <vt:lpstr>Hazmat</vt:lpstr>
      <vt:lpstr>Communications</vt:lpstr>
      <vt:lpstr>Health_Medical</vt:lpstr>
      <vt:lpstr>Energy</vt:lpstr>
      <vt:lpstr>Other</vt:lpstr>
      <vt:lpstr>Safety_Security</vt:lpstr>
      <vt:lpstr>Food_Water_Shelter</vt:lpstr>
      <vt:lpstr>Transportation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</cp:lastModifiedBy>
  <dcterms:created xsi:type="dcterms:W3CDTF">2026-09-18T01:59:50Z</dcterms:created>
  <dcterms:modified xsi:type="dcterms:W3CDTF">2026-09-18T02:08:51Z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133575068D7A46C7A7B2F7BFBE81F0A4_12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