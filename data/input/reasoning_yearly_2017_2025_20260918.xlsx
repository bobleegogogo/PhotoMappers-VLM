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qwen20260914\"/>
    </mc:Choice>
  </mc:AlternateContent>
  <bookViews>
    <workbookView windowWidth="27950" windowHeight="12280" activeTab="7"/>
  </bookViews>
  <sheets>
    <sheet name="2017" sheetId="1" r:id="rId1"/>
    <sheet name="2018" sheetId="2" r:id="rId2"/>
    <sheet name="2019" sheetId="3" r:id="rId3"/>
    <sheet name="2020" sheetId="4" r:id="rId4"/>
    <sheet name="2021" sheetId="5" r:id="rId5"/>
    <sheet name="2022" sheetId="6" r:id="rId6"/>
    <sheet name="2023" sheetId="7" r:id="rId7"/>
    <sheet name="2024" sheetId="8" r:id="rId8"/>
    <sheet name="2025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<sst xmlns="http://schemas.openxmlformats.org/spreadsheetml/2006/main" count="414" uniqueCount="54">
  <si>
    <t>2017 — Indicator score comparison</t>
  </si>
  <si>
    <t>No.</t>
  </si>
  <si>
    <t>Indicator name</t>
  </si>
  <si>
    <t>Qwen3.6-27B κw</t>
  </si>
  <si>
    <t>Qwen3.6-27B Agr.</t>
  </si>
  <si>
    <t>InternVL3-8B κw</t>
  </si>
  <si>
    <t>InternVL3-8B Agr.</t>
  </si>
  <si>
    <t>Building type and scale</t>
  </si>
  <si>
    <t>Overall building appearance</t>
  </si>
  <si>
    <t>Building position relative to nearby roads or open space</t>
  </si>
  <si>
    <t>Building position and shape correspondence in SVI--RSI</t>
  </si>
  <si>
    <t>Recognizable building outline</t>
  </si>
  <si>
    <t>Distinctive building appearance or visible name</t>
  </si>
  <si>
    <t>Road type and width</t>
  </si>
  <si>
    <t>Road markings and boundary features</t>
  </si>
  <si>
    <t>Road direction and connectivity</t>
  </si>
  <si>
    <t>Road position relative to surrounding elements</t>
  </si>
  <si>
    <t>Distinctive intersection, bridge, or road curve</t>
  </si>
  <si>
    <t>Traffic lights, road signs, or road markers</t>
  </si>
  <si>
    <t>Vegetation coverage and type</t>
  </si>
  <si>
    <t>Ground surface characteristics</t>
  </si>
  <si>
    <t>Vegetation position relative to roads or buildings</t>
  </si>
  <si>
    <t>Waterbody, shoreline, or open-space position</t>
  </si>
  <si>
    <t>Prominent trees, forest belts, or distinctive vegetation</t>
  </si>
  <si>
    <t>Coastline, river, lake, or slope outline</t>
  </si>
  <si>
    <t>Utility poles, streetlights, and cables</t>
  </si>
  <si>
    <t>Road signs, fences, and guardrails</t>
  </si>
  <si>
    <t>Facility position relative to roads or buildings</t>
  </si>
  <si>
    <t>Local facility grouping and arrangement</t>
  </si>
  <si>
    <t>Large facilities such as antennas, water towers, or pylons</t>
  </si>
  <si>
    <t>Recognizable signs such as storefront signs, billboards, or gas-station signs</t>
  </si>
  <si>
    <t>Scene functional type</t>
  </si>
  <si>
    <t>Spatial density and openness</t>
  </si>
  <si>
    <t>Overall building--road--vegetation relationship</t>
  </si>
  <si>
    <t>Consistency between the VGI visible scene and the SVI--RSI overall scene</t>
  </si>
  <si>
    <t>Large building complex, community, or commercial area</t>
  </si>
  <si>
    <t>Coastline, river, bridge, or regional background</t>
  </si>
  <si>
    <t>Building and structure average</t>
  </si>
  <si>
    <t>Road and transport average</t>
  </si>
  <si>
    <t>Vegetation and terrain average</t>
  </si>
  <si>
    <t>Objects and facilities average</t>
  </si>
  <si>
    <t>Global scene average</t>
  </si>
  <si>
    <t>Appearance dimension average</t>
  </si>
  <si>
    <t>Spatial layout dimension average</t>
  </si>
  <si>
    <t>Landmark cue dimension average</t>
  </si>
  <si>
    <t>Overall indicator-level average</t>
  </si>
  <si>
    <t>2018 — Indicator score comparison</t>
  </si>
  <si>
    <t>2019 — Indicator score comparison</t>
  </si>
  <si>
    <t>2020 — Indicator score comparison</t>
  </si>
  <si>
    <t>2021 — Indicator score comparison</t>
  </si>
  <si>
    <t>2022 — Indicator score comparison</t>
  </si>
  <si>
    <t>2023 — Indicator score comparison</t>
  </si>
  <si>
    <t>2024 — Indicator score comparison</t>
  </si>
  <si>
    <t>2025 — Indicator score comparison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</si>
</sst>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"/>
  </numFmts>
  <fonts count="25">
    <font>
      <sz val="11"/>
      <name val="Carlito"/>
      <charset val="134"/>
    </font>
    <font>
      <sz val="14"/>
      <name val="Arial"/>
      <charset val="134"/>
    </font>
    <font>
      <b/>
      <sz val="10"/>
      <color rgb="FFFFFFFF"/>
      <name val="Arial"/>
      <charset val="134"/>
    </font>
    <font>
      <sz val="10"/>
      <name val="Arial"/>
      <charset val="134"/>
    </font>
    <font>
      <b/>
      <sz val="10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203F60"/>
        <bgColor indexed="64"/>
      </patternFill>
    </fill>
    <fill>
      <patternFill patternType="solid">
        <fgColor rgb="FFEDF2F7"/>
        <bgColor indexed="64"/>
      </patternFill>
    </fill>
    <fill>
      <patternFill patternType="solid">
        <fgColor rgb="FFDCE7F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5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4" applyNumberFormat="0" applyAlignment="0" applyProtection="0">
      <alignment vertical="center"/>
    </xf>
    <xf numFmtId="0" fontId="15" fillId="7" borderId="5" applyNumberFormat="0" applyAlignment="0" applyProtection="0">
      <alignment vertical="center"/>
    </xf>
    <xf numFmtId="0" fontId="16" fillId="7" borderId="4" applyNumberFormat="0" applyAlignment="0" applyProtection="0">
      <alignment vertical="center"/>
    </xf>
    <xf numFmtId="0" fontId="17" fillId="8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0" fillId="0" borderId="0"/>
  </cellStyleXfs>
  <cellXfs count="15">
    <xf numFmtId="0" fontId="0" fillId="0" borderId="0" xfId="49"/>
    <xf numFmtId="0" fontId="1" fillId="0" borderId="0" xfId="49" applyNumberFormat="1" applyFont="1" applyFill="1" applyBorder="1"/>
    <xf numFmtId="0" fontId="2" fillId="2" borderId="0" xfId="49" applyNumberFormat="1" applyFont="1" applyFill="1" applyBorder="1" applyAlignment="1">
      <alignment wrapText="1"/>
    </xf>
    <xf numFmtId="0" fontId="3" fillId="0" borderId="0" xfId="49" applyNumberFormat="1" applyFont="1" applyFill="1" applyBorder="1"/>
    <xf numFmtId="0" fontId="3" fillId="0" borderId="0" xfId="49" applyNumberFormat="1" applyFont="1" applyFill="1" applyBorder="1" applyAlignment="1">
      <alignment wrapText="1"/>
    </xf>
    <xf numFmtId="176" fontId="3" fillId="0" borderId="0" xfId="49" applyNumberFormat="1" applyFont="1" applyFill="1" applyBorder="1"/>
    <xf numFmtId="10" fontId="3" fillId="0" borderId="0" xfId="49" applyNumberFormat="1" applyFont="1" applyFill="1" applyBorder="1"/>
    <xf numFmtId="0" fontId="3" fillId="3" borderId="0" xfId="49" applyNumberFormat="1" applyFont="1" applyFill="1" applyBorder="1"/>
    <xf numFmtId="0" fontId="4" fillId="3" borderId="0" xfId="49" applyNumberFormat="1" applyFont="1" applyFill="1" applyBorder="1" applyAlignment="1">
      <alignment wrapText="1"/>
    </xf>
    <xf numFmtId="176" fontId="3" fillId="3" borderId="0" xfId="49" applyNumberFormat="1" applyFont="1" applyFill="1" applyBorder="1"/>
    <xf numFmtId="10" fontId="3" fillId="3" borderId="0" xfId="49" applyNumberFormat="1" applyFont="1" applyFill="1" applyBorder="1"/>
    <xf numFmtId="0" fontId="3" fillId="4" borderId="0" xfId="49" applyNumberFormat="1" applyFont="1" applyFill="1" applyBorder="1"/>
    <xf numFmtId="0" fontId="4" fillId="4" borderId="0" xfId="49" applyNumberFormat="1" applyFont="1" applyFill="1" applyBorder="1" applyAlignment="1">
      <alignment wrapText="1"/>
    </xf>
    <xf numFmtId="176" fontId="3" fillId="4" borderId="0" xfId="49" applyNumberFormat="1" applyFont="1" applyFill="1" applyBorder="1"/>
    <xf numFmtId="10" fontId="3" fillId="4" borderId="0" xfId="49" applyNumberFormat="1" applyFont="1" applyFill="1" applyBorder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F43"/>
  <sheetViews>
    <sheetView showGridLines="0" zoomScale="70" zoomScaleNormal="70" workbookViewId="0">
      <pane ySplit="4" topLeftCell="A37" activePane="bottomLeft" state="frozen"/>
      <selection/>
      <selection pane="bottomLeft" activeCell="I18" sqref="I18"/>
    </sheetView>
  </sheetViews>
  <sheetFormatPr defaultColWidth="9" defaultRowHeight="23" customHeight="1" outlineLevelCol="5"/>
  <cols>
    <col min="1" max="1" width="6" customWidth="1"/>
    <col min="2" max="2" width="70" customWidth="1"/>
    <col min="3" max="6" width="20" customWidth="1"/>
  </cols>
  <sheetData>
    <row r="2" customHeight="1" spans="1:6">
      <c r="A2" s="1" t="s">
        <v>0</v>
      </c>
    </row>
    <row r="4" customHeight="1" spans="1:6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</row>
    <row r="5" customHeight="1" spans="1:6">
      <c r="A5" s="3">
        <v>1</v>
      </c>
      <c r="B5" s="4" t="s">
        <v>7</v>
      </c>
      <c r="C5" s="5">
        <v>0.750288013328371</v>
      </c>
      <c r="D5" s="6">
        <v>0.652849740932642</v>
      </c>
      <c r="E5" s="5">
        <v>0.285569652292214</v>
      </c>
      <c r="F5" s="6">
        <v>0.440414507772021</v>
      </c>
    </row>
    <row r="6" customHeight="1" spans="1:6">
      <c r="A6" s="3">
        <v>2</v>
      </c>
      <c r="B6" s="4" t="s">
        <v>8</v>
      </c>
      <c r="C6" s="5">
        <v>0.759112204475155</v>
      </c>
      <c r="D6" s="6">
        <v>0.766839378238342</v>
      </c>
      <c r="E6" s="5">
        <v>0.294247964767116</v>
      </c>
      <c r="F6" s="6">
        <v>0.481865284974093</v>
      </c>
    </row>
    <row r="7" customHeight="1" spans="1:6">
      <c r="A7" s="3">
        <v>3</v>
      </c>
      <c r="B7" s="4" t="s">
        <v>9</v>
      </c>
      <c r="C7" s="5">
        <v>0.765700606993246</v>
      </c>
      <c r="D7" s="6">
        <v>0.756476683937824</v>
      </c>
      <c r="E7" s="5">
        <v>0.341503804479721</v>
      </c>
      <c r="F7" s="6">
        <v>0.492227979274611</v>
      </c>
    </row>
    <row r="8" customHeight="1" spans="1:6">
      <c r="A8" s="3">
        <v>4</v>
      </c>
      <c r="B8" s="4" t="s">
        <v>10</v>
      </c>
      <c r="C8" s="5">
        <v>0.77047056108774</v>
      </c>
      <c r="D8" s="6">
        <v>0.808290155440414</v>
      </c>
      <c r="E8" s="5">
        <v>0.255009465738942</v>
      </c>
      <c r="F8" s="6">
        <v>0.476683937823834</v>
      </c>
    </row>
    <row r="9" customHeight="1" spans="1:6">
      <c r="A9" s="3">
        <v>5</v>
      </c>
      <c r="B9" s="4" t="s">
        <v>11</v>
      </c>
      <c r="C9" s="5">
        <v>0.712813847921493</v>
      </c>
      <c r="D9" s="6">
        <v>0.792746113989637</v>
      </c>
      <c r="E9" s="5">
        <v>0.18619720323034</v>
      </c>
      <c r="F9" s="6">
        <v>0.424870466321244</v>
      </c>
    </row>
    <row r="10" customHeight="1" spans="1:6">
      <c r="A10" s="3">
        <v>6</v>
      </c>
      <c r="B10" s="4" t="s">
        <v>12</v>
      </c>
      <c r="C10" s="5">
        <v>0.617345997786795</v>
      </c>
      <c r="D10" s="6">
        <v>0.740932642487047</v>
      </c>
      <c r="E10" s="5">
        <v>0.127903165386776</v>
      </c>
      <c r="F10" s="6">
        <v>0.352331606217617</v>
      </c>
    </row>
    <row r="11" customHeight="1" spans="1:6">
      <c r="A11" s="3">
        <v>7</v>
      </c>
      <c r="B11" s="4" t="s">
        <v>13</v>
      </c>
      <c r="C11" s="5">
        <v>0.676081988287387</v>
      </c>
      <c r="D11" s="6">
        <v>0.66839378238342</v>
      </c>
      <c r="E11" s="5">
        <v>0.344113470651116</v>
      </c>
      <c r="F11" s="6">
        <v>0.50259067357513</v>
      </c>
    </row>
    <row r="12" customHeight="1" spans="1:6">
      <c r="A12" s="3">
        <v>8</v>
      </c>
      <c r="B12" s="4" t="s">
        <v>14</v>
      </c>
      <c r="C12" s="5">
        <v>0.583627699675209</v>
      </c>
      <c r="D12" s="6">
        <v>0.590673575129534</v>
      </c>
      <c r="E12" s="5">
        <v>0.235319509751021</v>
      </c>
      <c r="F12" s="6">
        <v>0.352331606217617</v>
      </c>
    </row>
    <row r="13" customHeight="1" spans="1:6">
      <c r="A13" s="3">
        <v>9</v>
      </c>
      <c r="B13" s="4" t="s">
        <v>15</v>
      </c>
      <c r="C13" s="5">
        <v>0.742177651508025</v>
      </c>
      <c r="D13" s="6">
        <v>0.709844559585492</v>
      </c>
      <c r="E13" s="5">
        <v>0.307944197123256</v>
      </c>
      <c r="F13" s="6">
        <v>0.450777202072539</v>
      </c>
    </row>
    <row r="14" customHeight="1" spans="1:6">
      <c r="A14" s="3">
        <v>10</v>
      </c>
      <c r="B14" s="4" t="s">
        <v>16</v>
      </c>
      <c r="C14" s="5">
        <v>0.774475435655134</v>
      </c>
      <c r="D14" s="6">
        <v>0.766839378238342</v>
      </c>
      <c r="E14" s="5">
        <v>0.288821669187405</v>
      </c>
      <c r="F14" s="6">
        <v>0.49740932642487</v>
      </c>
    </row>
    <row r="15" customHeight="1" spans="1:6">
      <c r="A15" s="3">
        <v>11</v>
      </c>
      <c r="B15" s="4" t="s">
        <v>17</v>
      </c>
      <c r="C15" s="5">
        <v>0.57039241677713</v>
      </c>
      <c r="D15" s="6">
        <v>0.709844559585492</v>
      </c>
      <c r="E15" s="5">
        <v>0.145623038941454</v>
      </c>
      <c r="F15" s="6">
        <v>0.326424870466321</v>
      </c>
    </row>
    <row r="16" customHeight="1" spans="1:6">
      <c r="A16" s="3">
        <v>12</v>
      </c>
      <c r="B16" s="4" t="s">
        <v>18</v>
      </c>
      <c r="C16" s="5">
        <v>0.362205055884148</v>
      </c>
      <c r="D16" s="6">
        <v>0.512953367875648</v>
      </c>
      <c r="E16" s="5">
        <v>0.20254246679437</v>
      </c>
      <c r="F16" s="6">
        <v>0.347150259067358</v>
      </c>
    </row>
    <row r="17" customHeight="1" spans="1:6">
      <c r="A17" s="3">
        <v>13</v>
      </c>
      <c r="B17" s="4" t="s">
        <v>19</v>
      </c>
      <c r="C17" s="5">
        <v>0.655410650520106</v>
      </c>
      <c r="D17" s="6">
        <v>0.632124352331606</v>
      </c>
      <c r="E17" s="5">
        <v>0.309866616214171</v>
      </c>
      <c r="F17" s="6">
        <v>0.487046632124352</v>
      </c>
    </row>
    <row r="18" customHeight="1" spans="1:6">
      <c r="A18" s="3">
        <v>14</v>
      </c>
      <c r="B18" s="4" t="s">
        <v>20</v>
      </c>
      <c r="C18" s="5">
        <v>0.645913029900851</v>
      </c>
      <c r="D18" s="6">
        <v>0.590673575129534</v>
      </c>
      <c r="E18" s="5">
        <v>0.265395751325677</v>
      </c>
      <c r="F18" s="6">
        <v>0.409326424870466</v>
      </c>
    </row>
    <row r="19" customHeight="1" spans="1:6">
      <c r="A19" s="3">
        <v>15</v>
      </c>
      <c r="B19" s="4" t="s">
        <v>21</v>
      </c>
      <c r="C19" s="5">
        <v>0.686389144819499</v>
      </c>
      <c r="D19" s="6">
        <v>0.66839378238342</v>
      </c>
      <c r="E19" s="5">
        <v>0.337629885021114</v>
      </c>
      <c r="F19" s="6">
        <v>0.544041450777202</v>
      </c>
    </row>
    <row r="20" customHeight="1" spans="1:6">
      <c r="A20" s="3">
        <v>16</v>
      </c>
      <c r="B20" s="4" t="s">
        <v>22</v>
      </c>
      <c r="C20" s="5">
        <v>0.586363205310574</v>
      </c>
      <c r="D20" s="6">
        <v>0.585492227979275</v>
      </c>
      <c r="E20" s="5">
        <v>0.198944351339922</v>
      </c>
      <c r="F20" s="6">
        <v>0.38860103626943</v>
      </c>
    </row>
    <row r="21" customHeight="1" spans="1:6">
      <c r="A21" s="3">
        <v>17</v>
      </c>
      <c r="B21" s="4" t="s">
        <v>23</v>
      </c>
      <c r="C21" s="5">
        <v>0.607535031611639</v>
      </c>
      <c r="D21" s="6">
        <v>0.601036269430052</v>
      </c>
      <c r="E21" s="5">
        <v>0.147004448552776</v>
      </c>
      <c r="F21" s="6">
        <v>0.393782383419689</v>
      </c>
    </row>
    <row r="22" customHeight="1" spans="1:6">
      <c r="A22" s="3">
        <v>18</v>
      </c>
      <c r="B22" s="4" t="s">
        <v>24</v>
      </c>
      <c r="C22" s="5">
        <v>0.381445659016769</v>
      </c>
      <c r="D22" s="6">
        <v>0.569948186528497</v>
      </c>
      <c r="E22" s="5">
        <v>0.183970684957249</v>
      </c>
      <c r="F22" s="6">
        <v>0.518134715025907</v>
      </c>
    </row>
    <row r="23" customHeight="1" spans="1:6">
      <c r="A23" s="3">
        <v>19</v>
      </c>
      <c r="B23" s="4" t="s">
        <v>25</v>
      </c>
      <c r="C23" s="5">
        <v>0.493829065103363</v>
      </c>
      <c r="D23" s="6">
        <v>0.528497409326425</v>
      </c>
      <c r="E23" s="5">
        <v>0.376395895924267</v>
      </c>
      <c r="F23" s="6">
        <v>0.471502590673575</v>
      </c>
    </row>
    <row r="24" customHeight="1" spans="1:6">
      <c r="A24" s="3">
        <v>20</v>
      </c>
      <c r="B24" s="4" t="s">
        <v>26</v>
      </c>
      <c r="C24" s="5">
        <v>0.491487636805837</v>
      </c>
      <c r="D24" s="6">
        <v>0.575129533678757</v>
      </c>
      <c r="E24" s="5">
        <v>0.199710076526312</v>
      </c>
      <c r="F24" s="6">
        <v>0.393782383419689</v>
      </c>
    </row>
    <row r="25" customHeight="1" spans="1:6">
      <c r="A25" s="3">
        <v>21</v>
      </c>
      <c r="B25" s="4" t="s">
        <v>27</v>
      </c>
      <c r="C25" s="5">
        <v>0.671174160225255</v>
      </c>
      <c r="D25" s="6">
        <v>0.647668393782383</v>
      </c>
      <c r="E25" s="5">
        <v>0.325194991483131</v>
      </c>
      <c r="F25" s="6">
        <v>0.455958549222798</v>
      </c>
    </row>
    <row r="26" customHeight="1" spans="1:6">
      <c r="A26" s="3">
        <v>22</v>
      </c>
      <c r="B26" s="4" t="s">
        <v>28</v>
      </c>
      <c r="C26" s="5">
        <v>0.625851596108044</v>
      </c>
      <c r="D26" s="6">
        <v>0.673575129533679</v>
      </c>
      <c r="E26" s="5">
        <v>0.250950266074501</v>
      </c>
      <c r="F26" s="6">
        <v>0.424870466321244</v>
      </c>
    </row>
    <row r="27" customHeight="1" spans="1:6">
      <c r="A27" s="3">
        <v>23</v>
      </c>
      <c r="B27" s="4" t="s">
        <v>29</v>
      </c>
      <c r="C27" s="5">
        <v>0.226442639486118</v>
      </c>
      <c r="D27" s="6">
        <v>0.461139896373057</v>
      </c>
      <c r="E27" s="5">
        <v>0.129058313286861</v>
      </c>
      <c r="F27" s="6">
        <v>0.538860103626943</v>
      </c>
    </row>
    <row r="28" customHeight="1" spans="1:6">
      <c r="A28" s="3">
        <v>24</v>
      </c>
      <c r="B28" s="4" t="s">
        <v>30</v>
      </c>
      <c r="C28" s="5">
        <v>0.386418805694329</v>
      </c>
      <c r="D28" s="6">
        <v>0.601036269430052</v>
      </c>
      <c r="E28" s="5">
        <v>0.218828256944849</v>
      </c>
      <c r="F28" s="6">
        <v>0.507772020725389</v>
      </c>
    </row>
    <row r="29" customHeight="1" spans="1:6">
      <c r="A29" s="3">
        <v>25</v>
      </c>
      <c r="B29" s="4" t="s">
        <v>31</v>
      </c>
      <c r="C29" s="5">
        <v>0.681364129075294</v>
      </c>
      <c r="D29" s="6">
        <v>0.658031088082902</v>
      </c>
      <c r="E29" s="5">
        <v>0.321557524376084</v>
      </c>
      <c r="F29" s="6">
        <v>0.55440414507772</v>
      </c>
    </row>
    <row r="30" customHeight="1" spans="1:6">
      <c r="A30" s="3">
        <v>26</v>
      </c>
      <c r="B30" s="4" t="s">
        <v>32</v>
      </c>
      <c r="C30" s="5">
        <v>0.644639267555195</v>
      </c>
      <c r="D30" s="6">
        <v>0.652849740932642</v>
      </c>
      <c r="E30" s="5">
        <v>0.173900950320637</v>
      </c>
      <c r="F30" s="6">
        <v>0.466321243523316</v>
      </c>
    </row>
    <row r="31" customHeight="1" spans="1:6">
      <c r="A31" s="3">
        <v>27</v>
      </c>
      <c r="B31" s="4" t="s">
        <v>33</v>
      </c>
      <c r="C31" s="5">
        <v>0.751031198738673</v>
      </c>
      <c r="D31" s="6">
        <v>0.797927461139896</v>
      </c>
      <c r="E31" s="5">
        <v>0.35872721285958</v>
      </c>
      <c r="F31" s="6">
        <v>0.61139896373057</v>
      </c>
    </row>
    <row r="32" customHeight="1" spans="1:6">
      <c r="A32" s="3">
        <v>28</v>
      </c>
      <c r="B32" s="4" t="s">
        <v>34</v>
      </c>
      <c r="C32" s="5">
        <v>0.855473074168132</v>
      </c>
      <c r="D32" s="6">
        <v>0.886010362694301</v>
      </c>
      <c r="E32" s="5">
        <v>0.574094974984418</v>
      </c>
      <c r="F32" s="6">
        <v>0.772020725388601</v>
      </c>
    </row>
    <row r="33" customHeight="1" spans="1:6">
      <c r="A33" s="3">
        <v>29</v>
      </c>
      <c r="B33" s="4" t="s">
        <v>35</v>
      </c>
      <c r="C33" s="5">
        <v>0.682615983049239</v>
      </c>
      <c r="D33" s="6">
        <v>0.756476683937824</v>
      </c>
      <c r="E33" s="5">
        <v>0.461577479076845</v>
      </c>
      <c r="F33" s="6">
        <v>0.678756476683938</v>
      </c>
    </row>
    <row r="34" customHeight="1" spans="1:6">
      <c r="A34" s="3">
        <v>30</v>
      </c>
      <c r="B34" s="4" t="s">
        <v>36</v>
      </c>
      <c r="C34" s="5">
        <v>0.476842998021053</v>
      </c>
      <c r="D34" s="6">
        <v>0.606217616580311</v>
      </c>
      <c r="E34" s="5">
        <v>0.366472748545614</v>
      </c>
      <c r="F34" s="6">
        <v>0.590673575129534</v>
      </c>
    </row>
    <row r="35" customHeight="1" spans="1:6">
      <c r="A35" s="7"/>
      <c r="B35" s="8" t="s">
        <v>37</v>
      </c>
      <c r="C35" s="9">
        <f>AVERAGE(C5,C6,C7,C8,C9,C10)</f>
        <v>0.7292885385988</v>
      </c>
      <c r="D35" s="10">
        <f>AVERAGE(D5,D6,D7,D8,D9,D10)</f>
        <v>0.753022452504318</v>
      </c>
      <c r="E35" s="9">
        <f>AVERAGE(E5,E6,E7,E8,E9,E10)</f>
        <v>0.248405209315852</v>
      </c>
      <c r="F35" s="10">
        <f>AVERAGE(F5,F6,F7,F8,F9,F10)</f>
        <v>0.444732297063903</v>
      </c>
    </row>
    <row r="36" customHeight="1" spans="1:6">
      <c r="A36" s="7"/>
      <c r="B36" s="8" t="s">
        <v>38</v>
      </c>
      <c r="C36" s="9">
        <f>AVERAGE(C11,C12,C13,C14,C15,C16)</f>
        <v>0.618160041297839</v>
      </c>
      <c r="D36" s="10">
        <f>AVERAGE(D11,D12,D13,D14,D15,D16)</f>
        <v>0.659758203799655</v>
      </c>
      <c r="E36" s="9">
        <f>AVERAGE(E11,E12,E13,E14,E15,E16)</f>
        <v>0.254060725408104</v>
      </c>
      <c r="F36" s="10">
        <f>AVERAGE(F11,F12,F13,F14,F15,F16)</f>
        <v>0.412780656303972</v>
      </c>
    </row>
    <row r="37" customHeight="1" spans="1:6">
      <c r="A37" s="7"/>
      <c r="B37" s="8" t="s">
        <v>39</v>
      </c>
      <c r="C37" s="9">
        <f>AVERAGE(C17,C18,C19,C20,C21,C22)</f>
        <v>0.59384278686324</v>
      </c>
      <c r="D37" s="10">
        <f>AVERAGE(D17,D18,D19,D20,D21,D22)</f>
        <v>0.607944732297064</v>
      </c>
      <c r="E37" s="9">
        <f>AVERAGE(E17,E18,E19,E20,E21,E22)</f>
        <v>0.240468622901818</v>
      </c>
      <c r="F37" s="10">
        <f>AVERAGE(F17,F18,F19,F20,F21,F22)</f>
        <v>0.456822107081174</v>
      </c>
    </row>
    <row r="38" customHeight="1" spans="1:6">
      <c r="A38" s="7"/>
      <c r="B38" s="8" t="s">
        <v>40</v>
      </c>
      <c r="C38" s="9">
        <f>AVERAGE(C23,C24,C25,C26,C27,C28)</f>
        <v>0.482533983903824</v>
      </c>
      <c r="D38" s="10">
        <f>AVERAGE(D23,D24,D25,D26,D27,D28)</f>
        <v>0.581174438687392</v>
      </c>
      <c r="E38" s="9">
        <f>AVERAGE(E23,E24,E25,E26,E27,E28)</f>
        <v>0.250022966706653</v>
      </c>
      <c r="F38" s="10">
        <f>AVERAGE(F23,F24,F25,F26,F27,F28)</f>
        <v>0.46545768566494</v>
      </c>
    </row>
    <row r="39" customHeight="1" spans="1:6">
      <c r="A39" s="7"/>
      <c r="B39" s="8" t="s">
        <v>41</v>
      </c>
      <c r="C39" s="9">
        <f>AVERAGE(C29,C30,C31,C32,C33,C34)</f>
        <v>0.681994441767931</v>
      </c>
      <c r="D39" s="10">
        <f>AVERAGE(D29,D30,D31,D32,D33,D34)</f>
        <v>0.726252158894646</v>
      </c>
      <c r="E39" s="9">
        <f>AVERAGE(E29,E30,E31,E32,E33,E34)</f>
        <v>0.37605514836053</v>
      </c>
      <c r="F39" s="10">
        <f>AVERAGE(F29,F30,F31,F32,F33,F34)</f>
        <v>0.612262521588946</v>
      </c>
    </row>
    <row r="40" customHeight="1" spans="1:6">
      <c r="A40" s="7"/>
      <c r="B40" s="8" t="s">
        <v>42</v>
      </c>
      <c r="C40" s="9">
        <f>AVERAGE(C5,C6,C11,C12,C17,C18,C23,C24,C29,C30)</f>
        <v>0.638175368472677</v>
      </c>
      <c r="D40" s="10">
        <f>AVERAGE(D5,D6,D11,D12,D17,D18,D23,D24,D29,D30)</f>
        <v>0.63160621761658</v>
      </c>
      <c r="E40" s="9">
        <f>AVERAGE(E5,E6,E11,E12,E17,E18,E23,E24,E29,E30)</f>
        <v>0.280607741214862</v>
      </c>
      <c r="F40" s="10">
        <f>AVERAGE(F5,F6,F11,F12,F17,F18,F23,F24,F29,F30)</f>
        <v>0.455958549222798</v>
      </c>
    </row>
    <row r="41" customHeight="1" spans="1:6">
      <c r="A41" s="7"/>
      <c r="B41" s="8" t="s">
        <v>43</v>
      </c>
      <c r="C41" s="9">
        <f>AVERAGE(C7,C8,C13,C14,C19,C20,C25,C26,C31,C32)</f>
        <v>0.722910663461432</v>
      </c>
      <c r="D41" s="10">
        <f>AVERAGE(D7,D8,D13,D14,D19,D20,D25,D26,D31,D32)</f>
        <v>0.730051813471502</v>
      </c>
      <c r="E41" s="9">
        <f>AVERAGE(E7,E8,E13,E14,E19,E20,E25,E26,E31,E32)</f>
        <v>0.323882081829199</v>
      </c>
      <c r="F41" s="10">
        <f>AVERAGE(F7,F8,F13,F14,F19,F20,F25,F26,F31,F32)</f>
        <v>0.51139896373057</v>
      </c>
    </row>
    <row r="42" customHeight="1" spans="1:6">
      <c r="A42" s="7"/>
      <c r="B42" s="8" t="s">
        <v>44</v>
      </c>
      <c r="C42" s="9">
        <f>AVERAGE(C9,C10,C15,C16,C21,C22,C27,C28,C33,C34)</f>
        <v>0.502405843524871</v>
      </c>
      <c r="D42" s="10">
        <f>AVERAGE(D9,D10,D15,D16,D21,D22,D27,D28,D33,D34)</f>
        <v>0.635233160621762</v>
      </c>
      <c r="E42" s="9">
        <f>AVERAGE(E9,E10,E15,E16,E21,E22,E27,E28,E33,E34)</f>
        <v>0.216917780571714</v>
      </c>
      <c r="F42" s="10">
        <f>AVERAGE(F9,F10,F15,F16,F21,F22,F27,F28,F33,F34)</f>
        <v>0.467875647668394</v>
      </c>
    </row>
    <row r="43" customHeight="1" spans="1:6">
      <c r="A43" s="11"/>
      <c r="B43" s="12" t="s">
        <v>45</v>
      </c>
      <c r="C43" s="13">
        <f>AVERAGE(C5,C6,C7,C8,C9,C10,C11,C12,C13,C14,C15,C16,C17,C18,C19,C20,C21,C22,C23,C24,C25,C26,C27,C28,C29,C30,C31,C32,C33,C34)</f>
        <v>0.621163958486327</v>
      </c>
      <c r="D43" s="14">
        <f>AVERAGE(D5,D6,D7,D8,D9,D10,D11,D12,D13,D14,D15,D16,D17,D18,D19,D20,D21,D22,D23,D24,D25,D26,D27,D28,D29,D30,D31,D32,D33,D34)</f>
        <v>0.665630397236615</v>
      </c>
      <c r="E43" s="13">
        <f>AVERAGE(E5,E6,E7,E8,E9,E10,E11,E12,E13,E14,E15,E16,E17,E18,E19,E20,E21,E22,E23,E24,E25,E26,E27,E28,E29,E30,E31,E32,E33,E34)</f>
        <v>0.273802534538591</v>
      </c>
      <c r="F43" s="14">
        <f>AVERAGE(F5,F6,F7,F8,F9,F10,F11,F12,F13,F14,F15,F16,F17,F18,F19,F20,F21,F22,F23,F24,F25,F26,F27,F28,F29,F30,F31,F32,F33,F34)</f>
        <v>0.478411053540587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F43"/>
  <sheetViews>
    <sheetView showGridLines="0" zoomScale="85" zoomScaleNormal="85" workbookViewId="0">
      <pane ySplit="4" topLeftCell="A5" activePane="bottomLeft" state="frozen"/>
      <selection/>
      <selection pane="bottomLeft" activeCell="J27" sqref="J27"/>
    </sheetView>
  </sheetViews>
  <sheetFormatPr defaultColWidth="9" defaultRowHeight="17" customHeight="1" outlineLevelCol="5"/>
  <cols>
    <col min="1" max="1" width="6" customWidth="1"/>
    <col min="2" max="2" width="70" customWidth="1"/>
    <col min="3" max="6" width="20" customWidth="1"/>
  </cols>
  <sheetData>
    <row r="2" customHeight="1" spans="1:6">
      <c r="A2" s="1" t="s">
        <v>46</v>
      </c>
    </row>
    <row r="4" customHeight="1" spans="1:6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</row>
    <row r="5" customHeight="1" spans="1:6">
      <c r="A5" s="3">
        <v>1</v>
      </c>
      <c r="B5" s="4" t="s">
        <v>7</v>
      </c>
      <c r="C5" s="5">
        <v>0.666212825549958</v>
      </c>
      <c r="D5" s="6">
        <v>0.66030534351145</v>
      </c>
      <c r="E5" s="5">
        <v>0.179583529043369</v>
      </c>
      <c r="F5" s="6">
        <v>0.416030534351145</v>
      </c>
    </row>
    <row r="6" customHeight="1" spans="1:6">
      <c r="A6" s="3">
        <v>2</v>
      </c>
      <c r="B6" s="4" t="s">
        <v>8</v>
      </c>
      <c r="C6" s="5">
        <v>0.703231191129128</v>
      </c>
      <c r="D6" s="6">
        <v>0.748091603053435</v>
      </c>
      <c r="E6" s="5">
        <v>0.164160058335612</v>
      </c>
      <c r="F6" s="6">
        <v>0.438931297709924</v>
      </c>
    </row>
    <row r="7" customHeight="1" spans="1:6">
      <c r="A7" s="3">
        <v>3</v>
      </c>
      <c r="B7" s="4" t="s">
        <v>9</v>
      </c>
      <c r="C7" s="5">
        <v>0.678387974014202</v>
      </c>
      <c r="D7" s="6">
        <v>0.687022900763359</v>
      </c>
      <c r="E7" s="5">
        <v>0.240609535778808</v>
      </c>
      <c r="F7" s="6">
        <v>0.484732824427481</v>
      </c>
    </row>
    <row r="8" customHeight="1" spans="1:6">
      <c r="A8" s="3">
        <v>4</v>
      </c>
      <c r="B8" s="4" t="s">
        <v>10</v>
      </c>
      <c r="C8" s="5">
        <v>0.720119972061301</v>
      </c>
      <c r="D8" s="6">
        <v>0.763358778625954</v>
      </c>
      <c r="E8" s="5">
        <v>0.195438424497563</v>
      </c>
      <c r="F8" s="6">
        <v>0.427480916030534</v>
      </c>
    </row>
    <row r="9" customHeight="1" spans="1:6">
      <c r="A9" s="3">
        <v>5</v>
      </c>
      <c r="B9" s="4" t="s">
        <v>11</v>
      </c>
      <c r="C9" s="5">
        <v>0.693747989276139</v>
      </c>
      <c r="D9" s="6">
        <v>0.767175572519084</v>
      </c>
      <c r="E9" s="5">
        <v>0.193379716273555</v>
      </c>
      <c r="F9" s="6">
        <v>0.442748091603053</v>
      </c>
    </row>
    <row r="10" customHeight="1" spans="1:6">
      <c r="A10" s="3">
        <v>6</v>
      </c>
      <c r="B10" s="4" t="s">
        <v>12</v>
      </c>
      <c r="C10" s="5">
        <v>0.619277429676043</v>
      </c>
      <c r="D10" s="6">
        <v>0.732824427480916</v>
      </c>
      <c r="E10" s="5">
        <v>0.0950339613897379</v>
      </c>
      <c r="F10" s="6">
        <v>0.358778625954198</v>
      </c>
    </row>
    <row r="11" customHeight="1" spans="1:6">
      <c r="A11" s="3">
        <v>7</v>
      </c>
      <c r="B11" s="4" t="s">
        <v>13</v>
      </c>
      <c r="C11" s="5">
        <v>0.75561055800809</v>
      </c>
      <c r="D11" s="6">
        <v>0.706106870229008</v>
      </c>
      <c r="E11" s="5">
        <v>0.243480286917303</v>
      </c>
      <c r="F11" s="6">
        <v>0.488549618320611</v>
      </c>
    </row>
    <row r="12" customHeight="1" spans="1:6">
      <c r="A12" s="3">
        <v>8</v>
      </c>
      <c r="B12" s="4" t="s">
        <v>14</v>
      </c>
      <c r="C12" s="5">
        <v>0.687752606379671</v>
      </c>
      <c r="D12" s="6">
        <v>0.66412213740458</v>
      </c>
      <c r="E12" s="5">
        <v>0.181263609315005</v>
      </c>
      <c r="F12" s="6">
        <v>0.400763358778626</v>
      </c>
    </row>
    <row r="13" customHeight="1" spans="1:6">
      <c r="A13" s="3">
        <v>9</v>
      </c>
      <c r="B13" s="4" t="s">
        <v>15</v>
      </c>
      <c r="C13" s="5">
        <v>0.736279154889481</v>
      </c>
      <c r="D13" s="6">
        <v>0.713740458015267</v>
      </c>
      <c r="E13" s="5">
        <v>0.220769564409195</v>
      </c>
      <c r="F13" s="6">
        <v>0.438931297709924</v>
      </c>
    </row>
    <row r="14" customHeight="1" spans="1:6">
      <c r="A14" s="3">
        <v>10</v>
      </c>
      <c r="B14" s="4" t="s">
        <v>16</v>
      </c>
      <c r="C14" s="5">
        <v>0.667856136726453</v>
      </c>
      <c r="D14" s="6">
        <v>0.713740458015267</v>
      </c>
      <c r="E14" s="5">
        <v>0.239280884575611</v>
      </c>
      <c r="F14" s="6">
        <v>0.465648854961832</v>
      </c>
    </row>
    <row r="15" customHeight="1" spans="1:6">
      <c r="A15" s="3">
        <v>11</v>
      </c>
      <c r="B15" s="4" t="s">
        <v>17</v>
      </c>
      <c r="C15" s="5">
        <v>0.573994563146262</v>
      </c>
      <c r="D15" s="6">
        <v>0.717557251908397</v>
      </c>
      <c r="E15" s="5">
        <v>0.149219679473721</v>
      </c>
      <c r="F15" s="6">
        <v>0.362595419847328</v>
      </c>
    </row>
    <row r="16" customHeight="1" spans="1:6">
      <c r="A16" s="3">
        <v>12</v>
      </c>
      <c r="B16" s="4" t="s">
        <v>18</v>
      </c>
      <c r="C16" s="5">
        <v>0.529740537101831</v>
      </c>
      <c r="D16" s="6">
        <v>0.580152671755725</v>
      </c>
      <c r="E16" s="5">
        <v>0.183050513670529</v>
      </c>
      <c r="F16" s="6">
        <v>0.33969465648855</v>
      </c>
    </row>
    <row r="17" customHeight="1" spans="1:6">
      <c r="A17" s="3">
        <v>13</v>
      </c>
      <c r="B17" s="4" t="s">
        <v>19</v>
      </c>
      <c r="C17" s="5">
        <v>0.610792510191391</v>
      </c>
      <c r="D17" s="6">
        <v>0.587786259541985</v>
      </c>
      <c r="E17" s="5">
        <v>0.369630065103316</v>
      </c>
      <c r="F17" s="6">
        <v>0.477099236641221</v>
      </c>
    </row>
    <row r="18" customHeight="1" spans="1:6">
      <c r="A18" s="3">
        <v>14</v>
      </c>
      <c r="B18" s="4" t="s">
        <v>20</v>
      </c>
      <c r="C18" s="5">
        <v>0.635910326364621</v>
      </c>
      <c r="D18" s="6">
        <v>0.606870229007634</v>
      </c>
      <c r="E18" s="5">
        <v>0.273046717486895</v>
      </c>
      <c r="F18" s="6">
        <v>0.458015267175573</v>
      </c>
    </row>
    <row r="19" customHeight="1" spans="1:6">
      <c r="A19" s="3">
        <v>15</v>
      </c>
      <c r="B19" s="4" t="s">
        <v>21</v>
      </c>
      <c r="C19" s="5">
        <v>0.669486863321635</v>
      </c>
      <c r="D19" s="6">
        <v>0.687022900763359</v>
      </c>
      <c r="E19" s="5">
        <v>0.230526943049289</v>
      </c>
      <c r="F19" s="6">
        <v>0.450381679389313</v>
      </c>
    </row>
    <row r="20" customHeight="1" spans="1:6">
      <c r="A20" s="3">
        <v>16</v>
      </c>
      <c r="B20" s="4" t="s">
        <v>22</v>
      </c>
      <c r="C20" s="5">
        <v>0.535275928139169</v>
      </c>
      <c r="D20" s="6">
        <v>0.538167938931298</v>
      </c>
      <c r="E20" s="5">
        <v>0.202472096670049</v>
      </c>
      <c r="F20" s="6">
        <v>0.404580152671756</v>
      </c>
    </row>
    <row r="21" customHeight="1" spans="1:6">
      <c r="A21" s="3">
        <v>17</v>
      </c>
      <c r="B21" s="4" t="s">
        <v>23</v>
      </c>
      <c r="C21" s="5">
        <v>0.599585615525058</v>
      </c>
      <c r="D21" s="6">
        <v>0.603053435114504</v>
      </c>
      <c r="E21" s="5">
        <v>0.158330561439751</v>
      </c>
      <c r="F21" s="6">
        <v>0.389312977099237</v>
      </c>
    </row>
    <row r="22" customHeight="1" spans="1:6">
      <c r="A22" s="3">
        <v>18</v>
      </c>
      <c r="B22" s="4" t="s">
        <v>24</v>
      </c>
      <c r="C22" s="5">
        <v>0.35480363310733</v>
      </c>
      <c r="D22" s="6">
        <v>0.557251908396947</v>
      </c>
      <c r="E22" s="5">
        <v>0.13923431984795</v>
      </c>
      <c r="F22" s="6">
        <v>0.49618320610687</v>
      </c>
    </row>
    <row r="23" customHeight="1" spans="1:6">
      <c r="A23" s="3">
        <v>19</v>
      </c>
      <c r="B23" s="4" t="s">
        <v>25</v>
      </c>
      <c r="C23" s="5">
        <v>0.598475979651348</v>
      </c>
      <c r="D23" s="6">
        <v>0.599236641221374</v>
      </c>
      <c r="E23" s="5">
        <v>0.232137443153108</v>
      </c>
      <c r="F23" s="6">
        <v>0.431297709923664</v>
      </c>
    </row>
    <row r="24" customHeight="1" spans="1:6">
      <c r="A24" s="3">
        <v>20</v>
      </c>
      <c r="B24" s="4" t="s">
        <v>26</v>
      </c>
      <c r="C24" s="5">
        <v>0.521039309434697</v>
      </c>
      <c r="D24" s="6">
        <v>0.606870229007634</v>
      </c>
      <c r="E24" s="5">
        <v>0.202600489842962</v>
      </c>
      <c r="F24" s="6">
        <v>0.419847328244275</v>
      </c>
    </row>
    <row r="25" customHeight="1" spans="1:6">
      <c r="A25" s="3">
        <v>21</v>
      </c>
      <c r="B25" s="4" t="s">
        <v>27</v>
      </c>
      <c r="C25" s="5">
        <v>0.632380453490982</v>
      </c>
      <c r="D25" s="6">
        <v>0.66793893129771</v>
      </c>
      <c r="E25" s="5">
        <v>0.242259271861177</v>
      </c>
      <c r="F25" s="6">
        <v>0.461832061068702</v>
      </c>
    </row>
    <row r="26" customHeight="1" spans="1:6">
      <c r="A26" s="3">
        <v>22</v>
      </c>
      <c r="B26" s="4" t="s">
        <v>28</v>
      </c>
      <c r="C26" s="5">
        <v>0.632780938247176</v>
      </c>
      <c r="D26" s="6">
        <v>0.66412213740458</v>
      </c>
      <c r="E26" s="5">
        <v>0.198501760878649</v>
      </c>
      <c r="F26" s="6">
        <v>0.419847328244275</v>
      </c>
    </row>
    <row r="27" customHeight="1" spans="1:6">
      <c r="A27" s="3">
        <v>23</v>
      </c>
      <c r="B27" s="4" t="s">
        <v>29</v>
      </c>
      <c r="C27" s="5">
        <v>0.228195471096595</v>
      </c>
      <c r="D27" s="6">
        <v>0.5</v>
      </c>
      <c r="E27" s="5">
        <v>0.156533948450506</v>
      </c>
      <c r="F27" s="6">
        <v>0.576335877862595</v>
      </c>
    </row>
    <row r="28" customHeight="1" spans="1:6">
      <c r="A28" s="3">
        <v>24</v>
      </c>
      <c r="B28" s="4" t="s">
        <v>30</v>
      </c>
      <c r="C28" s="5">
        <v>0.372107406071226</v>
      </c>
      <c r="D28" s="6">
        <v>0.553435114503817</v>
      </c>
      <c r="E28" s="5">
        <v>0.213634446283137</v>
      </c>
      <c r="F28" s="6">
        <v>0.49236641221374</v>
      </c>
    </row>
    <row r="29" customHeight="1" spans="1:6">
      <c r="A29" s="3">
        <v>25</v>
      </c>
      <c r="B29" s="4" t="s">
        <v>31</v>
      </c>
      <c r="C29" s="5">
        <v>0.618537987369058</v>
      </c>
      <c r="D29" s="6">
        <v>0.641221374045801</v>
      </c>
      <c r="E29" s="5">
        <v>0.223266296809986</v>
      </c>
      <c r="F29" s="6">
        <v>0.484732824427481</v>
      </c>
    </row>
    <row r="30" customHeight="1" spans="1:6">
      <c r="A30" s="3">
        <v>26</v>
      </c>
      <c r="B30" s="4" t="s">
        <v>32</v>
      </c>
      <c r="C30" s="5">
        <v>0.494050637849647</v>
      </c>
      <c r="D30" s="6">
        <v>0.576335877862595</v>
      </c>
      <c r="E30" s="5">
        <v>0.26336362077833</v>
      </c>
      <c r="F30" s="6">
        <v>0.458015267175573</v>
      </c>
    </row>
    <row r="31" customHeight="1" spans="1:6">
      <c r="A31" s="3">
        <v>27</v>
      </c>
      <c r="B31" s="4" t="s">
        <v>33</v>
      </c>
      <c r="C31" s="5">
        <v>0.66519784965189</v>
      </c>
      <c r="D31" s="6">
        <v>0.732824427480916</v>
      </c>
      <c r="E31" s="5">
        <v>0.320065347242312</v>
      </c>
      <c r="F31" s="6">
        <v>0.603053435114504</v>
      </c>
    </row>
    <row r="32" customHeight="1" spans="1:6">
      <c r="A32" s="3">
        <v>28</v>
      </c>
      <c r="B32" s="4" t="s">
        <v>34</v>
      </c>
      <c r="C32" s="5">
        <v>0.740150315735837</v>
      </c>
      <c r="D32" s="6">
        <v>0.83587786259542</v>
      </c>
      <c r="E32" s="5">
        <v>0.492868284065924</v>
      </c>
      <c r="F32" s="6">
        <v>0.740458015267176</v>
      </c>
    </row>
    <row r="33" customHeight="1" spans="1:6">
      <c r="A33" s="3">
        <v>29</v>
      </c>
      <c r="B33" s="4" t="s">
        <v>35</v>
      </c>
      <c r="C33" s="5">
        <v>0.564094770353069</v>
      </c>
      <c r="D33" s="6">
        <v>0.698473282442748</v>
      </c>
      <c r="E33" s="5">
        <v>0.302040059920004</v>
      </c>
      <c r="F33" s="6">
        <v>0.587786259541985</v>
      </c>
    </row>
    <row r="34" customHeight="1" spans="1:6">
      <c r="A34" s="3">
        <v>30</v>
      </c>
      <c r="B34" s="4" t="s">
        <v>36</v>
      </c>
      <c r="C34" s="5">
        <v>0.42464750684072</v>
      </c>
      <c r="D34" s="6">
        <v>0.553435114503817</v>
      </c>
      <c r="E34" s="5">
        <v>0.280574683329083</v>
      </c>
      <c r="F34" s="6">
        <v>0.522900763358779</v>
      </c>
    </row>
    <row r="35" customHeight="1" spans="1:6">
      <c r="A35" s="7"/>
      <c r="B35" s="8" t="s">
        <v>37</v>
      </c>
      <c r="C35" s="9">
        <f>AVERAGE(C5,C6,C7,C8,C9,C10)</f>
        <v>0.680162896951129</v>
      </c>
      <c r="D35" s="10">
        <f>AVERAGE(D5,D6,D7,D8,D9,D10)</f>
        <v>0.7264631043257</v>
      </c>
      <c r="E35" s="9">
        <f>AVERAGE(E5,E6,E7,E8,E9,E10)</f>
        <v>0.178034204219774</v>
      </c>
      <c r="F35" s="10">
        <f>AVERAGE(F5,F6,F7,F8,F9,F10)</f>
        <v>0.428117048346056</v>
      </c>
    </row>
    <row r="36" customHeight="1" spans="1:6">
      <c r="A36" s="7"/>
      <c r="B36" s="8" t="s">
        <v>38</v>
      </c>
      <c r="C36" s="9">
        <f>AVERAGE(C11,C12,C13,C14,C15,C16)</f>
        <v>0.658538926041965</v>
      </c>
      <c r="D36" s="10">
        <f>AVERAGE(D11,D12,D13,D14,D15,D16)</f>
        <v>0.682569974554707</v>
      </c>
      <c r="E36" s="9">
        <f>AVERAGE(E11,E12,E13,E14,E15,E16)</f>
        <v>0.202844089726894</v>
      </c>
      <c r="F36" s="10">
        <f>AVERAGE(F11,F12,F13,F14,F15,F16)</f>
        <v>0.416030534351145</v>
      </c>
    </row>
    <row r="37" customHeight="1" spans="1:6">
      <c r="A37" s="7"/>
      <c r="B37" s="8" t="s">
        <v>39</v>
      </c>
      <c r="C37" s="9">
        <f>AVERAGE(C17,C18,C19,C20,C21,C22)</f>
        <v>0.567642479441534</v>
      </c>
      <c r="D37" s="10">
        <f>AVERAGE(D17,D18,D19,D20,D21,D22)</f>
        <v>0.596692111959288</v>
      </c>
      <c r="E37" s="9">
        <f>AVERAGE(E17,E18,E19,E20,E21,E22)</f>
        <v>0.228873450599542</v>
      </c>
      <c r="F37" s="10">
        <f>AVERAGE(F17,F18,F19,F20,F21,F22)</f>
        <v>0.445928753180661</v>
      </c>
    </row>
    <row r="38" customHeight="1" spans="1:6">
      <c r="A38" s="7"/>
      <c r="B38" s="8" t="s">
        <v>40</v>
      </c>
      <c r="C38" s="9">
        <f>AVERAGE(C23,C24,C25,C26,C27,C28)</f>
        <v>0.497496592998671</v>
      </c>
      <c r="D38" s="10">
        <f>AVERAGE(D23,D24,D25,D26,D27,D28)</f>
        <v>0.598600508905852</v>
      </c>
      <c r="E38" s="9">
        <f>AVERAGE(E23,E24,E25,E26,E27,E28)</f>
        <v>0.207611226744923</v>
      </c>
      <c r="F38" s="10">
        <f>AVERAGE(F23,F24,F25,F26,F27,F28)</f>
        <v>0.466921119592875</v>
      </c>
    </row>
    <row r="39" customHeight="1" spans="1:6">
      <c r="A39" s="7"/>
      <c r="B39" s="8" t="s">
        <v>41</v>
      </c>
      <c r="C39" s="9">
        <f>AVERAGE(C29,C30,C31,C32,C33,C34)</f>
        <v>0.584446511300037</v>
      </c>
      <c r="D39" s="10">
        <f>AVERAGE(D29,D30,D31,D32,D33,D34)</f>
        <v>0.673027989821883</v>
      </c>
      <c r="E39" s="9">
        <f>AVERAGE(E29,E30,E31,E32,E33,E34)</f>
        <v>0.313696382024273</v>
      </c>
      <c r="F39" s="10">
        <f>AVERAGE(F29,F30,F31,F32,F33,F34)</f>
        <v>0.566157760814249</v>
      </c>
    </row>
    <row r="40" customHeight="1" spans="1:6">
      <c r="A40" s="7"/>
      <c r="B40" s="8" t="s">
        <v>42</v>
      </c>
      <c r="C40" s="9">
        <f>AVERAGE(C5,C6,C11,C12,C17,C18,C23,C24,C29,C30)</f>
        <v>0.629161393192761</v>
      </c>
      <c r="D40" s="10">
        <f>AVERAGE(D5,D6,D11,D12,D17,D18,D23,D24,D29,D30)</f>
        <v>0.63969465648855</v>
      </c>
      <c r="E40" s="9">
        <f>AVERAGE(E5,E6,E11,E12,E17,E18,E23,E24,E29,E30)</f>
        <v>0.233253211678589</v>
      </c>
      <c r="F40" s="10">
        <f>AVERAGE(F5,F6,F11,F12,F17,F18,F23,F24,F29,F30)</f>
        <v>0.447328244274809</v>
      </c>
    </row>
    <row r="41" customHeight="1" spans="1:6">
      <c r="A41" s="7"/>
      <c r="B41" s="8" t="s">
        <v>43</v>
      </c>
      <c r="C41" s="9">
        <f>AVERAGE(C7,C8,C13,C14,C19,C20,C25,C26,C31,C32)</f>
        <v>0.667791558627813</v>
      </c>
      <c r="D41" s="10">
        <f>AVERAGE(D7,D8,D13,D14,D19,D20,D25,D26,D31,D32)</f>
        <v>0.700381679389313</v>
      </c>
      <c r="E41" s="9">
        <f>AVERAGE(E7,E8,E13,E14,E19,E20,E25,E26,E31,E32)</f>
        <v>0.258279211302858</v>
      </c>
      <c r="F41" s="10">
        <f>AVERAGE(F7,F8,F13,F14,F19,F20,F25,F26,F31,F32)</f>
        <v>0.48969465648855</v>
      </c>
    </row>
    <row r="42" customHeight="1" spans="1:6">
      <c r="A42" s="7"/>
      <c r="B42" s="8" t="s">
        <v>44</v>
      </c>
      <c r="C42" s="9">
        <f>AVERAGE(C9,C10,C15,C16,C21,C22,C27,C28,C33,C34)</f>
        <v>0.496019492219427</v>
      </c>
      <c r="D42" s="10">
        <f>AVERAGE(D9,D10,D15,D16,D21,D22,D27,D28,D33,D34)</f>
        <v>0.626335877862595</v>
      </c>
      <c r="E42" s="9">
        <f>AVERAGE(E9,E10,E15,E16,E21,E22,E27,E28,E33,E34)</f>
        <v>0.187103189007797</v>
      </c>
      <c r="F42" s="10">
        <f>AVERAGE(F9,F10,F15,F16,F21,F22,F27,F28,F33,F34)</f>
        <v>0.456870229007634</v>
      </c>
    </row>
    <row r="43" customHeight="1" spans="1:6">
      <c r="A43" s="11"/>
      <c r="B43" s="12" t="s">
        <v>45</v>
      </c>
      <c r="C43" s="13">
        <f>AVERAGE(C5,C6,C7,C8,C9,C10,C11,C12,C13,C14,C15,C16,C17,C18,C19,C20,C21,C22,C23,C24,C25,C26,C27,C28,C29,C30,C31,C32,C33,C34)</f>
        <v>0.597657481346667</v>
      </c>
      <c r="D43" s="14">
        <f>AVERAGE(D5,D6,D7,D8,D9,D10,D11,D12,D13,D14,D15,D16,D17,D18,D19,D20,D21,D22,D23,D24,D25,D26,D27,D28,D29,D30,D31,D32,D33,D34)</f>
        <v>0.655470737913486</v>
      </c>
      <c r="E43" s="13">
        <f>AVERAGE(E5,E6,E7,E8,E9,E10,E11,E12,E13,E14,E15,E16,E17,E18,E19,E20,E21,E22,E23,E24,E25,E26,E27,E28,E29,E30,E31,E32,E33,E34)</f>
        <v>0.226211870663081</v>
      </c>
      <c r="F43" s="14">
        <f>AVERAGE(F5,F6,F7,F8,F9,F10,F11,F12,F13,F14,F15,F16,F17,F18,F19,F20,F21,F22,F23,F24,F25,F26,F27,F28,F29,F30,F31,F32,F33,F34)</f>
        <v>0.464631043256997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F43"/>
  <sheetViews>
    <sheetView showGridLines="0" zoomScale="70" zoomScaleNormal="70" workbookViewId="0">
      <pane ySplit="4" topLeftCell="A5" activePane="bottomLeft" state="frozen"/>
      <selection/>
      <selection pane="bottomLeft" activeCell="I34" sqref="I34"/>
    </sheetView>
  </sheetViews>
  <sheetFormatPr defaultColWidth="9" defaultRowHeight="15" customHeight="1" outlineLevelCol="5"/>
  <cols>
    <col min="1" max="1" width="6" customWidth="1"/>
    <col min="2" max="2" width="70" customWidth="1"/>
    <col min="3" max="6" width="20" customWidth="1"/>
  </cols>
  <sheetData>
    <row r="2" customHeight="1" spans="1:6">
      <c r="A2" s="1" t="s">
        <v>47</v>
      </c>
    </row>
    <row r="4" customHeight="1" spans="1:6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</row>
    <row r="5" customHeight="1" spans="1:6">
      <c r="A5" s="3">
        <v>1</v>
      </c>
      <c r="B5" s="4" t="s">
        <v>7</v>
      </c>
      <c r="C5" s="5">
        <v>0.619209519762006</v>
      </c>
      <c r="D5" s="6">
        <v>0.642857142857143</v>
      </c>
      <c r="E5" s="5">
        <v>0.219324318667057</v>
      </c>
      <c r="F5" s="6">
        <v>0.428571428571429</v>
      </c>
    </row>
    <row r="6" customHeight="1" spans="1:6">
      <c r="A6" s="3">
        <v>2</v>
      </c>
      <c r="B6" s="4" t="s">
        <v>8</v>
      </c>
      <c r="C6" s="5">
        <v>0.73396674584323</v>
      </c>
      <c r="D6" s="6">
        <v>0.761904761904762</v>
      </c>
      <c r="E6" s="5">
        <v>0.225379192480239</v>
      </c>
      <c r="F6" s="6">
        <v>0.476190476190476</v>
      </c>
    </row>
    <row r="7" customHeight="1" spans="1:6">
      <c r="A7" s="3">
        <v>3</v>
      </c>
      <c r="B7" s="4" t="s">
        <v>9</v>
      </c>
      <c r="C7" s="5">
        <v>0.745108695652174</v>
      </c>
      <c r="D7" s="6">
        <v>0.708333333333333</v>
      </c>
      <c r="E7" s="5">
        <v>0.337794185509921</v>
      </c>
      <c r="F7" s="6">
        <v>0.511904761904762</v>
      </c>
    </row>
    <row r="8" customHeight="1" spans="1:6">
      <c r="A8" s="3">
        <v>4</v>
      </c>
      <c r="B8" s="4" t="s">
        <v>10</v>
      </c>
      <c r="C8" s="5">
        <v>0.717639975918122</v>
      </c>
      <c r="D8" s="6">
        <v>0.744047619047619</v>
      </c>
      <c r="E8" s="5">
        <v>0.205278592375367</v>
      </c>
      <c r="F8" s="6">
        <v>0.44047619047619</v>
      </c>
    </row>
    <row r="9" customHeight="1" spans="1:6">
      <c r="A9" s="3">
        <v>5</v>
      </c>
      <c r="B9" s="4" t="s">
        <v>11</v>
      </c>
      <c r="C9" s="5">
        <v>0.736914746788406</v>
      </c>
      <c r="D9" s="6">
        <v>0.791666666666667</v>
      </c>
      <c r="E9" s="5">
        <v>0.218235770164554</v>
      </c>
      <c r="F9" s="6">
        <v>0.464285714285714</v>
      </c>
    </row>
    <row r="10" customHeight="1" spans="1:6">
      <c r="A10" s="3">
        <v>6</v>
      </c>
      <c r="B10" s="4" t="s">
        <v>12</v>
      </c>
      <c r="C10" s="5">
        <v>0.616438356164384</v>
      </c>
      <c r="D10" s="6">
        <v>0.714285714285714</v>
      </c>
      <c r="E10" s="5">
        <v>0.154673283705542</v>
      </c>
      <c r="F10" s="6">
        <v>0.386904761904762</v>
      </c>
    </row>
    <row r="11" customHeight="1" spans="1:6">
      <c r="A11" s="3">
        <v>7</v>
      </c>
      <c r="B11" s="4" t="s">
        <v>13</v>
      </c>
      <c r="C11" s="5">
        <v>0.682412247946228</v>
      </c>
      <c r="D11" s="6">
        <v>0.642857142857143</v>
      </c>
      <c r="E11" s="5">
        <v>0.377670572019297</v>
      </c>
      <c r="F11" s="6">
        <v>0.529761904761905</v>
      </c>
    </row>
    <row r="12" customHeight="1" spans="1:6">
      <c r="A12" s="3">
        <v>8</v>
      </c>
      <c r="B12" s="4" t="s">
        <v>14</v>
      </c>
      <c r="C12" s="5">
        <v>0.679405848677085</v>
      </c>
      <c r="D12" s="6">
        <v>0.666666666666667</v>
      </c>
      <c r="E12" s="5">
        <v>0.352760359031108</v>
      </c>
      <c r="F12" s="6">
        <v>0.488095238095238</v>
      </c>
    </row>
    <row r="13" customHeight="1" spans="1:6">
      <c r="A13" s="3">
        <v>9</v>
      </c>
      <c r="B13" s="4" t="s">
        <v>15</v>
      </c>
      <c r="C13" s="5">
        <v>0.783395692183234</v>
      </c>
      <c r="D13" s="6">
        <v>0.767857142857143</v>
      </c>
      <c r="E13" s="5">
        <v>0.308706337975721</v>
      </c>
      <c r="F13" s="6">
        <v>0.488095238095238</v>
      </c>
    </row>
    <row r="14" customHeight="1" spans="1:6">
      <c r="A14" s="3">
        <v>10</v>
      </c>
      <c r="B14" s="4" t="s">
        <v>16</v>
      </c>
      <c r="C14" s="5">
        <v>0.773677961457667</v>
      </c>
      <c r="D14" s="6">
        <v>0.755952380952381</v>
      </c>
      <c r="E14" s="5">
        <v>0.333257012020607</v>
      </c>
      <c r="F14" s="6">
        <v>0.529761904761905</v>
      </c>
    </row>
    <row r="15" customHeight="1" spans="1:6">
      <c r="A15" s="3">
        <v>11</v>
      </c>
      <c r="B15" s="4" t="s">
        <v>17</v>
      </c>
      <c r="C15" s="5">
        <v>0.671223273746933</v>
      </c>
      <c r="D15" s="6">
        <v>0.744047619047619</v>
      </c>
      <c r="E15" s="5">
        <v>0.243056046363701</v>
      </c>
      <c r="F15" s="6">
        <v>0.428571428571429</v>
      </c>
    </row>
    <row r="16" customHeight="1" spans="1:6">
      <c r="A16" s="3">
        <v>12</v>
      </c>
      <c r="B16" s="4" t="s">
        <v>18</v>
      </c>
      <c r="C16" s="5">
        <v>0.524427480916031</v>
      </c>
      <c r="D16" s="6">
        <v>0.595238095238095</v>
      </c>
      <c r="E16" s="5">
        <v>0.264591439688716</v>
      </c>
      <c r="F16" s="6">
        <v>0.357142857142857</v>
      </c>
    </row>
    <row r="17" customHeight="1" spans="1:6">
      <c r="A17" s="3">
        <v>13</v>
      </c>
      <c r="B17" s="4" t="s">
        <v>19</v>
      </c>
      <c r="C17" s="5">
        <v>0.633929961089494</v>
      </c>
      <c r="D17" s="6">
        <v>0.625</v>
      </c>
      <c r="E17" s="5">
        <v>0.386413440467495</v>
      </c>
      <c r="F17" s="6">
        <v>0.464285714285714</v>
      </c>
    </row>
    <row r="18" customHeight="1" spans="1:6">
      <c r="A18" s="3">
        <v>14</v>
      </c>
      <c r="B18" s="4" t="s">
        <v>20</v>
      </c>
      <c r="C18" s="5">
        <v>0.593360995850622</v>
      </c>
      <c r="D18" s="6">
        <v>0.55952380952381</v>
      </c>
      <c r="E18" s="5">
        <v>0.325581395348837</v>
      </c>
      <c r="F18" s="6">
        <v>0.482142857142857</v>
      </c>
    </row>
    <row r="19" customHeight="1" spans="1:6">
      <c r="A19" s="3">
        <v>15</v>
      </c>
      <c r="B19" s="4" t="s">
        <v>21</v>
      </c>
      <c r="C19" s="5">
        <v>0.73987798114254</v>
      </c>
      <c r="D19" s="6">
        <v>0.726190476190476</v>
      </c>
      <c r="E19" s="5">
        <v>0.377033492822966</v>
      </c>
      <c r="F19" s="6">
        <v>0.553571428571429</v>
      </c>
    </row>
    <row r="20" customHeight="1" spans="1:6">
      <c r="A20" s="3">
        <v>16</v>
      </c>
      <c r="B20" s="4" t="s">
        <v>22</v>
      </c>
      <c r="C20" s="5">
        <v>0.536324086635169</v>
      </c>
      <c r="D20" s="6">
        <v>0.529761904761905</v>
      </c>
      <c r="E20" s="5">
        <v>0.296294591484465</v>
      </c>
      <c r="F20" s="6">
        <v>0.43452380952381</v>
      </c>
    </row>
    <row r="21" customHeight="1" spans="1:6">
      <c r="A21" s="3">
        <v>17</v>
      </c>
      <c r="B21" s="4" t="s">
        <v>23</v>
      </c>
      <c r="C21" s="5">
        <v>0.620195930670686</v>
      </c>
      <c r="D21" s="6">
        <v>0.678571428571429</v>
      </c>
      <c r="E21" s="5">
        <v>0.30033159639981</v>
      </c>
      <c r="F21" s="6">
        <v>0.494047619047619</v>
      </c>
    </row>
    <row r="22" customHeight="1" spans="1:6">
      <c r="A22" s="3">
        <v>18</v>
      </c>
      <c r="B22" s="4" t="s">
        <v>24</v>
      </c>
      <c r="C22" s="5">
        <v>0.349703640982219</v>
      </c>
      <c r="D22" s="6">
        <v>0.517857142857143</v>
      </c>
      <c r="E22" s="5">
        <v>0.130314743235781</v>
      </c>
      <c r="F22" s="6">
        <v>0.464285714285714</v>
      </c>
    </row>
    <row r="23" customHeight="1" spans="1:6">
      <c r="A23" s="3">
        <v>19</v>
      </c>
      <c r="B23" s="4" t="s">
        <v>25</v>
      </c>
      <c r="C23" s="5">
        <v>0.603660280240206</v>
      </c>
      <c r="D23" s="6">
        <v>0.571428571428571</v>
      </c>
      <c r="E23" s="5">
        <v>0.429960108212206</v>
      </c>
      <c r="F23" s="6">
        <v>0.529761904761905</v>
      </c>
    </row>
    <row r="24" customHeight="1" spans="1:6">
      <c r="A24" s="3">
        <v>20</v>
      </c>
      <c r="B24" s="4" t="s">
        <v>26</v>
      </c>
      <c r="C24" s="5">
        <v>0.483344219464402</v>
      </c>
      <c r="D24" s="6">
        <v>0.577380952380952</v>
      </c>
      <c r="E24" s="5">
        <v>0.197989949748744</v>
      </c>
      <c r="F24" s="6">
        <v>0.375</v>
      </c>
    </row>
    <row r="25" customHeight="1" spans="1:6">
      <c r="A25" s="3">
        <v>21</v>
      </c>
      <c r="B25" s="4" t="s">
        <v>27</v>
      </c>
      <c r="C25" s="5">
        <v>0.705882352941176</v>
      </c>
      <c r="D25" s="6">
        <v>0.660714285714286</v>
      </c>
      <c r="E25" s="5">
        <v>0.391</v>
      </c>
      <c r="F25" s="6">
        <v>0.517857142857143</v>
      </c>
    </row>
    <row r="26" customHeight="1" spans="1:6">
      <c r="A26" s="3">
        <v>22</v>
      </c>
      <c r="B26" s="4" t="s">
        <v>28</v>
      </c>
      <c r="C26" s="5">
        <v>0.662174866812911</v>
      </c>
      <c r="D26" s="6">
        <v>0.648809523809524</v>
      </c>
      <c r="E26" s="5">
        <v>0.280789650788903</v>
      </c>
      <c r="F26" s="6">
        <v>0.458333333333333</v>
      </c>
    </row>
    <row r="27" customHeight="1" spans="1:6">
      <c r="A27" s="3">
        <v>23</v>
      </c>
      <c r="B27" s="4" t="s">
        <v>29</v>
      </c>
      <c r="C27" s="5">
        <v>0.23197893427934</v>
      </c>
      <c r="D27" s="6">
        <v>0.458333333333333</v>
      </c>
      <c r="E27" s="5">
        <v>0.30113329735564</v>
      </c>
      <c r="F27" s="6">
        <v>0.577380952380952</v>
      </c>
    </row>
    <row r="28" customHeight="1" spans="1:6">
      <c r="A28" s="3">
        <v>24</v>
      </c>
      <c r="B28" s="4" t="s">
        <v>30</v>
      </c>
      <c r="C28" s="5">
        <v>0.426356589147287</v>
      </c>
      <c r="D28" s="6">
        <v>0.601190476190476</v>
      </c>
      <c r="E28" s="5">
        <v>0.35202492211838</v>
      </c>
      <c r="F28" s="6">
        <v>0.547619047619048</v>
      </c>
    </row>
    <row r="29" customHeight="1" spans="1:6">
      <c r="A29" s="3">
        <v>25</v>
      </c>
      <c r="B29" s="4" t="s">
        <v>31</v>
      </c>
      <c r="C29" s="5">
        <v>0.656603773584906</v>
      </c>
      <c r="D29" s="6">
        <v>0.672619047619048</v>
      </c>
      <c r="E29" s="5">
        <v>0.437330928764653</v>
      </c>
      <c r="F29" s="6">
        <v>0.589285714285714</v>
      </c>
    </row>
    <row r="30" customHeight="1" spans="1:6">
      <c r="A30" s="3">
        <v>26</v>
      </c>
      <c r="B30" s="4" t="s">
        <v>32</v>
      </c>
      <c r="C30" s="5">
        <v>0.598348185177135</v>
      </c>
      <c r="D30" s="6">
        <v>0.613095238095238</v>
      </c>
      <c r="E30" s="5">
        <v>0.447591382231905</v>
      </c>
      <c r="F30" s="6">
        <v>0.601190476190476</v>
      </c>
    </row>
    <row r="31" customHeight="1" spans="1:6">
      <c r="A31" s="3">
        <v>27</v>
      </c>
      <c r="B31" s="4" t="s">
        <v>33</v>
      </c>
      <c r="C31" s="5">
        <v>0.772168511308456</v>
      </c>
      <c r="D31" s="6">
        <v>0.791666666666667</v>
      </c>
      <c r="E31" s="5">
        <v>0.629054890631449</v>
      </c>
      <c r="F31" s="6">
        <v>0.738095238095238</v>
      </c>
    </row>
    <row r="32" customHeight="1" spans="1:6">
      <c r="A32" s="3">
        <v>28</v>
      </c>
      <c r="B32" s="4" t="s">
        <v>34</v>
      </c>
      <c r="C32" s="5">
        <v>0.797256097560976</v>
      </c>
      <c r="D32" s="6">
        <v>0.857142857142857</v>
      </c>
      <c r="E32" s="5">
        <v>0.651230775748845</v>
      </c>
      <c r="F32" s="6">
        <v>0.791666666666667</v>
      </c>
    </row>
    <row r="33" customHeight="1" spans="1:6">
      <c r="A33" s="3">
        <v>29</v>
      </c>
      <c r="B33" s="4" t="s">
        <v>35</v>
      </c>
      <c r="C33" s="5">
        <v>0.636941896024465</v>
      </c>
      <c r="D33" s="6">
        <v>0.726190476190476</v>
      </c>
      <c r="E33" s="5">
        <v>0.50635644039338</v>
      </c>
      <c r="F33" s="6">
        <v>0.678571428571429</v>
      </c>
    </row>
    <row r="34" customHeight="1" spans="1:6">
      <c r="A34" s="3">
        <v>30</v>
      </c>
      <c r="B34" s="4" t="s">
        <v>36</v>
      </c>
      <c r="C34" s="5">
        <v>0.529203539823009</v>
      </c>
      <c r="D34" s="6">
        <v>0.601190476190476</v>
      </c>
      <c r="E34" s="5">
        <v>0.450367060325567</v>
      </c>
      <c r="F34" s="6">
        <v>0.595238095238095</v>
      </c>
    </row>
    <row r="35" customHeight="1" spans="1:6">
      <c r="A35" s="7"/>
      <c r="B35" s="8" t="s">
        <v>37</v>
      </c>
      <c r="C35" s="9">
        <f>AVERAGE(C5,C6,C7,C8,C9,C10)</f>
        <v>0.69487967335472</v>
      </c>
      <c r="D35" s="10">
        <f>AVERAGE(D5,D6,D7,D8,D9,D10)</f>
        <v>0.72718253968254</v>
      </c>
      <c r="E35" s="9">
        <f>AVERAGE(E5,E6,E7,E8,E9,E10)</f>
        <v>0.22678089048378</v>
      </c>
      <c r="F35" s="10">
        <f>AVERAGE(F5,F6,F7,F8,F9,F10)</f>
        <v>0.451388888888889</v>
      </c>
    </row>
    <row r="36" customHeight="1" spans="1:6">
      <c r="A36" s="7"/>
      <c r="B36" s="8" t="s">
        <v>38</v>
      </c>
      <c r="C36" s="9">
        <f>AVERAGE(C11,C12,C13,C14,C15,C16)</f>
        <v>0.68575708415453</v>
      </c>
      <c r="D36" s="10">
        <f>AVERAGE(D11,D12,D13,D14,D15,D16)</f>
        <v>0.695436507936508</v>
      </c>
      <c r="E36" s="9">
        <f>AVERAGE(E11,E12,E13,E14,E15,E16)</f>
        <v>0.313340294516525</v>
      </c>
      <c r="F36" s="10">
        <f>AVERAGE(F11,F12,F13,F14,F15,F16)</f>
        <v>0.470238095238095</v>
      </c>
    </row>
    <row r="37" customHeight="1" spans="1:6">
      <c r="A37" s="7"/>
      <c r="B37" s="8" t="s">
        <v>39</v>
      </c>
      <c r="C37" s="9">
        <f>AVERAGE(C17,C18,C19,C20,C21,C22)</f>
        <v>0.578898766061788</v>
      </c>
      <c r="D37" s="10">
        <f>AVERAGE(D17,D18,D19,D20,D21,D22)</f>
        <v>0.606150793650794</v>
      </c>
      <c r="E37" s="9">
        <f>AVERAGE(E17,E18,E19,E20,E21,E22)</f>
        <v>0.302661543293226</v>
      </c>
      <c r="F37" s="10">
        <f>AVERAGE(F17,F18,F19,F20,F21,F22)</f>
        <v>0.482142857142857</v>
      </c>
    </row>
    <row r="38" customHeight="1" spans="1:6">
      <c r="A38" s="7"/>
      <c r="B38" s="8" t="s">
        <v>40</v>
      </c>
      <c r="C38" s="9">
        <f>AVERAGE(C23,C24,C25,C26,C27,C28)</f>
        <v>0.518899540480887</v>
      </c>
      <c r="D38" s="10">
        <f>AVERAGE(D23,D24,D25,D26,D27,D28)</f>
        <v>0.586309523809524</v>
      </c>
      <c r="E38" s="9">
        <f>AVERAGE(E23,E24,E25,E26,E27,E28)</f>
        <v>0.325482988037312</v>
      </c>
      <c r="F38" s="10">
        <f>AVERAGE(F23,F24,F25,F26,F27,F28)</f>
        <v>0.500992063492063</v>
      </c>
    </row>
    <row r="39" customHeight="1" spans="1:6">
      <c r="A39" s="7"/>
      <c r="B39" s="8" t="s">
        <v>41</v>
      </c>
      <c r="C39" s="9">
        <f>AVERAGE(C29,C30,C31,C32,C33,C34)</f>
        <v>0.665087000579825</v>
      </c>
      <c r="D39" s="10">
        <f>AVERAGE(D29,D30,D31,D32,D33,D34)</f>
        <v>0.71031746031746</v>
      </c>
      <c r="E39" s="9">
        <f>AVERAGE(E29,E30,E31,E32,E33,E34)</f>
        <v>0.520321913015966</v>
      </c>
      <c r="F39" s="10">
        <f>AVERAGE(F29,F30,F31,F32,F33,F34)</f>
        <v>0.665674603174603</v>
      </c>
    </row>
    <row r="40" customHeight="1" spans="1:6">
      <c r="A40" s="7"/>
      <c r="B40" s="8" t="s">
        <v>42</v>
      </c>
      <c r="C40" s="9">
        <f>AVERAGE(C5,C6,C11,C12,C17,C18,C23,C24,C29,C30)</f>
        <v>0.628424177763532</v>
      </c>
      <c r="D40" s="10">
        <f>AVERAGE(D5,D6,D11,D12,D17,D18,D23,D24,D29,D30)</f>
        <v>0.633333333333333</v>
      </c>
      <c r="E40" s="9">
        <f>AVERAGE(E5,E6,E11,E12,E17,E18,E23,E24,E29,E30)</f>
        <v>0.340000164697154</v>
      </c>
      <c r="F40" s="10">
        <f>AVERAGE(F5,F6,F11,F12,F17,F18,F23,F24,F29,F30)</f>
        <v>0.496428571428571</v>
      </c>
    </row>
    <row r="41" customHeight="1" spans="1:6">
      <c r="A41" s="7"/>
      <c r="B41" s="8" t="s">
        <v>43</v>
      </c>
      <c r="C41" s="9">
        <f>AVERAGE(C7,C8,C13,C14,C19,C20,C25,C26,C31,C32)</f>
        <v>0.723350622161243</v>
      </c>
      <c r="D41" s="10">
        <f>AVERAGE(D7,D8,D13,D14,D19,D20,D25,D26,D31,D32)</f>
        <v>0.719047619047619</v>
      </c>
      <c r="E41" s="9">
        <f>AVERAGE(E7,E8,E13,E14,E19,E20,E25,E26,E31,E32)</f>
        <v>0.381043952935824</v>
      </c>
      <c r="F41" s="10">
        <f>AVERAGE(F7,F8,F13,F14,F19,F20,F25,F26,F31,F32)</f>
        <v>0.546428571428571</v>
      </c>
    </row>
    <row r="42" customHeight="1" spans="1:6">
      <c r="A42" s="7"/>
      <c r="B42" s="8" t="s">
        <v>44</v>
      </c>
      <c r="C42" s="9">
        <f>AVERAGE(C9,C10,C15,C16,C21,C22,C27,C28,C33,C34)</f>
        <v>0.534338438854276</v>
      </c>
      <c r="D42" s="10">
        <f>AVERAGE(D9,D10,D15,D16,D21,D22,D27,D28,D33,D34)</f>
        <v>0.642857142857143</v>
      </c>
      <c r="E42" s="9">
        <f>AVERAGE(E9,E10,E15,E16,E21,E22,E27,E28,E33,E34)</f>
        <v>0.292108459975107</v>
      </c>
      <c r="F42" s="10">
        <f>AVERAGE(F9,F10,F15,F16,F21,F22,F27,F28,F33,F34)</f>
        <v>0.499404761904762</v>
      </c>
    </row>
    <row r="43" customHeight="1" spans="1:6">
      <c r="A43" s="11"/>
      <c r="B43" s="12" t="s">
        <v>45</v>
      </c>
      <c r="C43" s="13">
        <f>AVERAGE(C5,C6,C7,C8,C9,C10,C11,C12,C13,C14,C15,C16,C17,C18,C19,C20,C21,C22,C23,C24,C25,C26,C27,C28,C29,C30,C31,C32,C33,C34)</f>
        <v>0.62870441292635</v>
      </c>
      <c r="D43" s="14">
        <f>AVERAGE(D5,D6,D7,D8,D9,D10,D11,D12,D13,D14,D15,D16,D17,D18,D19,D20,D21,D22,D23,D24,D25,D26,D27,D28,D29,D30,D31,D32,D33,D34)</f>
        <v>0.665079365079365</v>
      </c>
      <c r="E43" s="13">
        <f>AVERAGE(E5,E6,E7,E8,E9,E10,E11,E12,E13,E14,E15,E16,E17,E18,E19,E20,E21,E22,E23,E24,E25,E26,E27,E28,E29,E30,E31,E32,E33,E34)</f>
        <v>0.337717525869362</v>
      </c>
      <c r="F43" s="14">
        <f>AVERAGE(F5,F6,F7,F8,F9,F10,F11,F12,F13,F14,F15,F16,F17,F18,F19,F20,F21,F22,F23,F24,F25,F26,F27,F28,F29,F30,F31,F32,F33,F34)</f>
        <v>0.514087301587301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F43"/>
  <sheetViews>
    <sheetView showGridLines="0" zoomScale="70" zoomScaleNormal="70" workbookViewId="0">
      <pane ySplit="4" topLeftCell="A5" activePane="bottomLeft" state="frozen"/>
      <selection/>
      <selection pane="bottomLeft" activeCell="C57" sqref="C57"/>
    </sheetView>
  </sheetViews>
  <sheetFormatPr defaultColWidth="9" defaultRowHeight="14" customHeight="1" outlineLevelCol="5"/>
  <cols>
    <col min="1" max="1" width="6" customWidth="1"/>
    <col min="2" max="2" width="70" customWidth="1"/>
    <col min="3" max="6" width="20" customWidth="1"/>
  </cols>
  <sheetData>
    <row r="2" customHeight="1" spans="1:6">
      <c r="A2" s="1" t="s">
        <v>48</v>
      </c>
    </row>
    <row r="4" customHeight="1" spans="1:6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</row>
    <row r="5" customHeight="1" spans="1:6">
      <c r="A5" s="3">
        <v>1</v>
      </c>
      <c r="B5" s="4" t="s">
        <v>7</v>
      </c>
      <c r="C5" s="5">
        <v>0.707957668956109</v>
      </c>
      <c r="D5" s="6">
        <v>0.677543186180422</v>
      </c>
      <c r="E5" s="5">
        <v>0.386386052093143</v>
      </c>
      <c r="F5" s="6">
        <v>0.554702495201535</v>
      </c>
    </row>
    <row r="6" customHeight="1" spans="1:6">
      <c r="A6" s="3">
        <v>2</v>
      </c>
      <c r="B6" s="4" t="s">
        <v>8</v>
      </c>
      <c r="C6" s="5">
        <v>0.814550648367592</v>
      </c>
      <c r="D6" s="6">
        <v>0.794625719769674</v>
      </c>
      <c r="E6" s="5">
        <v>0.372068497966153</v>
      </c>
      <c r="F6" s="6">
        <v>0.550863723608445</v>
      </c>
    </row>
    <row r="7" customHeight="1" spans="1:6">
      <c r="A7" s="3">
        <v>3</v>
      </c>
      <c r="B7" s="4" t="s">
        <v>9</v>
      </c>
      <c r="C7" s="5">
        <v>0.742817212619054</v>
      </c>
      <c r="D7" s="6">
        <v>0.72936660268714</v>
      </c>
      <c r="E7" s="5">
        <v>0.37386981144258</v>
      </c>
      <c r="F7" s="6">
        <v>0.566218809980806</v>
      </c>
    </row>
    <row r="8" customHeight="1" spans="1:6">
      <c r="A8" s="3">
        <v>4</v>
      </c>
      <c r="B8" s="4" t="s">
        <v>10</v>
      </c>
      <c r="C8" s="5">
        <v>0.793997910357426</v>
      </c>
      <c r="D8" s="6">
        <v>0.783109404990403</v>
      </c>
      <c r="E8" s="5">
        <v>0.354689787186128</v>
      </c>
      <c r="F8" s="6">
        <v>0.535508637236084</v>
      </c>
    </row>
    <row r="9" customHeight="1" spans="1:6">
      <c r="A9" s="3">
        <v>5</v>
      </c>
      <c r="B9" s="4" t="s">
        <v>11</v>
      </c>
      <c r="C9" s="5">
        <v>0.762905690707178</v>
      </c>
      <c r="D9" s="6">
        <v>0.769673704414587</v>
      </c>
      <c r="E9" s="5">
        <v>0.297707734335229</v>
      </c>
      <c r="F9" s="6">
        <v>0.506717850287908</v>
      </c>
    </row>
    <row r="10" customHeight="1" spans="1:6">
      <c r="A10" s="3">
        <v>6</v>
      </c>
      <c r="B10" s="4" t="s">
        <v>12</v>
      </c>
      <c r="C10" s="5">
        <v>0.676975000134785</v>
      </c>
      <c r="D10" s="6">
        <v>0.719769673704415</v>
      </c>
      <c r="E10" s="5">
        <v>0.226144287429807</v>
      </c>
      <c r="F10" s="6">
        <v>0.424184261036468</v>
      </c>
    </row>
    <row r="11" customHeight="1" spans="1:6">
      <c r="A11" s="3">
        <v>7</v>
      </c>
      <c r="B11" s="4" t="s">
        <v>13</v>
      </c>
      <c r="C11" s="5">
        <v>0.688580416699411</v>
      </c>
      <c r="D11" s="6">
        <v>0.644913627639155</v>
      </c>
      <c r="E11" s="5">
        <v>0.35299879313662</v>
      </c>
      <c r="F11" s="6">
        <v>0.508637236084453</v>
      </c>
    </row>
    <row r="12" customHeight="1" spans="1:6">
      <c r="A12" s="3">
        <v>8</v>
      </c>
      <c r="B12" s="4" t="s">
        <v>14</v>
      </c>
      <c r="C12" s="5">
        <v>0.667833746858713</v>
      </c>
      <c r="D12" s="6">
        <v>0.637236084452975</v>
      </c>
      <c r="E12" s="5">
        <v>0.31614475904744</v>
      </c>
      <c r="F12" s="6">
        <v>0.439539347408829</v>
      </c>
    </row>
    <row r="13" customHeight="1" spans="1:6">
      <c r="A13" s="3">
        <v>9</v>
      </c>
      <c r="B13" s="4" t="s">
        <v>15</v>
      </c>
      <c r="C13" s="5">
        <v>0.767198008913585</v>
      </c>
      <c r="D13" s="6">
        <v>0.744721689059501</v>
      </c>
      <c r="E13" s="5">
        <v>0.330312382068921</v>
      </c>
      <c r="F13" s="6">
        <v>0.506717850287908</v>
      </c>
    </row>
    <row r="14" customHeight="1" spans="1:6">
      <c r="A14" s="3">
        <v>10</v>
      </c>
      <c r="B14" s="4" t="s">
        <v>16</v>
      </c>
      <c r="C14" s="5">
        <v>0.768589029720561</v>
      </c>
      <c r="D14" s="6">
        <v>0.758157389635317</v>
      </c>
      <c r="E14" s="5">
        <v>0.382585126618819</v>
      </c>
      <c r="F14" s="6">
        <v>0.568138195777351</v>
      </c>
    </row>
    <row r="15" customHeight="1" spans="1:6">
      <c r="A15" s="3">
        <v>11</v>
      </c>
      <c r="B15" s="4" t="s">
        <v>17</v>
      </c>
      <c r="C15" s="5">
        <v>0.635275586994936</v>
      </c>
      <c r="D15" s="6">
        <v>0.702495201535509</v>
      </c>
      <c r="E15" s="5">
        <v>0.226858705243494</v>
      </c>
      <c r="F15" s="6">
        <v>0.418426103646833</v>
      </c>
    </row>
    <row r="16" customHeight="1" spans="1:6">
      <c r="A16" s="3">
        <v>12</v>
      </c>
      <c r="B16" s="4" t="s">
        <v>18</v>
      </c>
      <c r="C16" s="5">
        <v>0.358124464423279</v>
      </c>
      <c r="D16" s="6">
        <v>0.456813819577735</v>
      </c>
      <c r="E16" s="5">
        <v>0.19624402138235</v>
      </c>
      <c r="F16" s="6">
        <v>0.341650671785029</v>
      </c>
    </row>
    <row r="17" customHeight="1" spans="1:6">
      <c r="A17" s="3">
        <v>13</v>
      </c>
      <c r="B17" s="4" t="s">
        <v>19</v>
      </c>
      <c r="C17" s="5">
        <v>0.612716052023616</v>
      </c>
      <c r="D17" s="6">
        <v>0.621880998080614</v>
      </c>
      <c r="E17" s="5">
        <v>0.314492243549828</v>
      </c>
      <c r="F17" s="6">
        <v>0.527831094049904</v>
      </c>
    </row>
    <row r="18" customHeight="1" spans="1:6">
      <c r="A18" s="3">
        <v>14</v>
      </c>
      <c r="B18" s="4" t="s">
        <v>20</v>
      </c>
      <c r="C18" s="5">
        <v>0.67801344803718</v>
      </c>
      <c r="D18" s="6">
        <v>0.63531669865643</v>
      </c>
      <c r="E18" s="5">
        <v>0.354936111695646</v>
      </c>
      <c r="F18" s="6">
        <v>0.506717850287908</v>
      </c>
    </row>
    <row r="19" customHeight="1" spans="1:6">
      <c r="A19" s="3">
        <v>15</v>
      </c>
      <c r="B19" s="4" t="s">
        <v>21</v>
      </c>
      <c r="C19" s="5">
        <v>0.706514587520617</v>
      </c>
      <c r="D19" s="6">
        <v>0.692898272552783</v>
      </c>
      <c r="E19" s="5">
        <v>0.358333679699515</v>
      </c>
      <c r="F19" s="6">
        <v>0.54126679462572</v>
      </c>
    </row>
    <row r="20" customHeight="1" spans="1:6">
      <c r="A20" s="3">
        <v>16</v>
      </c>
      <c r="B20" s="4" t="s">
        <v>22</v>
      </c>
      <c r="C20" s="5">
        <v>0.56872322401065</v>
      </c>
      <c r="D20" s="6">
        <v>0.556621880998081</v>
      </c>
      <c r="E20" s="5">
        <v>0.317428568571171</v>
      </c>
      <c r="F20" s="6">
        <v>0.466410748560461</v>
      </c>
    </row>
    <row r="21" customHeight="1" spans="1:6">
      <c r="A21" s="3">
        <v>17</v>
      </c>
      <c r="B21" s="4" t="s">
        <v>23</v>
      </c>
      <c r="C21" s="5">
        <v>0.618599300594061</v>
      </c>
      <c r="D21" s="6">
        <v>0.598848368522073</v>
      </c>
      <c r="E21" s="5">
        <v>0.264670591485101</v>
      </c>
      <c r="F21" s="6">
        <v>0.435700575815739</v>
      </c>
    </row>
    <row r="22" customHeight="1" spans="1:6">
      <c r="A22" s="3">
        <v>18</v>
      </c>
      <c r="B22" s="4" t="s">
        <v>24</v>
      </c>
      <c r="C22" s="5">
        <v>0.285246827892192</v>
      </c>
      <c r="D22" s="6">
        <v>0.533589251439539</v>
      </c>
      <c r="E22" s="5">
        <v>0.136593413877848</v>
      </c>
      <c r="F22" s="6">
        <v>0.510556621880998</v>
      </c>
    </row>
    <row r="23" customHeight="1" spans="1:6">
      <c r="A23" s="3">
        <v>19</v>
      </c>
      <c r="B23" s="4" t="s">
        <v>25</v>
      </c>
      <c r="C23" s="5">
        <v>0.60407956483249</v>
      </c>
      <c r="D23" s="6">
        <v>0.596928982725528</v>
      </c>
      <c r="E23" s="5">
        <v>0.347730416990194</v>
      </c>
      <c r="F23" s="6">
        <v>0.493282149712092</v>
      </c>
    </row>
    <row r="24" customHeight="1" spans="1:6">
      <c r="A24" s="3">
        <v>20</v>
      </c>
      <c r="B24" s="4" t="s">
        <v>26</v>
      </c>
      <c r="C24" s="5">
        <v>0.530682252633012</v>
      </c>
      <c r="D24" s="6">
        <v>0.593090211132438</v>
      </c>
      <c r="E24" s="5">
        <v>0.281194238516584</v>
      </c>
      <c r="F24" s="6">
        <v>0.44721689059501</v>
      </c>
    </row>
    <row r="25" customHeight="1" spans="1:6">
      <c r="A25" s="3">
        <v>21</v>
      </c>
      <c r="B25" s="4" t="s">
        <v>27</v>
      </c>
      <c r="C25" s="5">
        <v>0.736866334730801</v>
      </c>
      <c r="D25" s="6">
        <v>0.715930902111324</v>
      </c>
      <c r="E25" s="5">
        <v>0.391557672213356</v>
      </c>
      <c r="F25" s="6">
        <v>0.54126679462572</v>
      </c>
    </row>
    <row r="26" customHeight="1" spans="1:6">
      <c r="A26" s="3">
        <v>22</v>
      </c>
      <c r="B26" s="4" t="s">
        <v>28</v>
      </c>
      <c r="C26" s="5">
        <v>0.743160273329607</v>
      </c>
      <c r="D26" s="6">
        <v>0.72552783109405</v>
      </c>
      <c r="E26" s="5">
        <v>0.305850189469313</v>
      </c>
      <c r="F26" s="6">
        <v>0.481765834932821</v>
      </c>
    </row>
    <row r="27" customHeight="1" spans="1:6">
      <c r="A27" s="3">
        <v>23</v>
      </c>
      <c r="B27" s="4" t="s">
        <v>29</v>
      </c>
      <c r="C27" s="5">
        <v>0.208961477256129</v>
      </c>
      <c r="D27" s="6">
        <v>0.479846449136276</v>
      </c>
      <c r="E27" s="5">
        <v>0.163350764802652</v>
      </c>
      <c r="F27" s="6">
        <v>0.554702495201535</v>
      </c>
    </row>
    <row r="28" customHeight="1" spans="1:6">
      <c r="A28" s="3">
        <v>24</v>
      </c>
      <c r="B28" s="4" t="s">
        <v>30</v>
      </c>
      <c r="C28" s="5">
        <v>0.32648565461141</v>
      </c>
      <c r="D28" s="6">
        <v>0.54510556621881</v>
      </c>
      <c r="E28" s="5">
        <v>0.197596413300677</v>
      </c>
      <c r="F28" s="6">
        <v>0.479846449136276</v>
      </c>
    </row>
    <row r="29" customHeight="1" spans="1:6">
      <c r="A29" s="3">
        <v>25</v>
      </c>
      <c r="B29" s="4" t="s">
        <v>31</v>
      </c>
      <c r="C29" s="5">
        <v>0.70378242950262</v>
      </c>
      <c r="D29" s="6">
        <v>0.698656429942418</v>
      </c>
      <c r="E29" s="5">
        <v>0.431487245536832</v>
      </c>
      <c r="F29" s="6">
        <v>0.616122840690979</v>
      </c>
    </row>
    <row r="30" customHeight="1" spans="1:6">
      <c r="A30" s="3">
        <v>26</v>
      </c>
      <c r="B30" s="4" t="s">
        <v>32</v>
      </c>
      <c r="C30" s="5">
        <v>0.663467972787092</v>
      </c>
      <c r="D30" s="6">
        <v>0.667946257197697</v>
      </c>
      <c r="E30" s="5">
        <v>0.349196025137944</v>
      </c>
      <c r="F30" s="6">
        <v>0.5489443378119</v>
      </c>
    </row>
    <row r="31" customHeight="1" spans="1:6">
      <c r="A31" s="3">
        <v>27</v>
      </c>
      <c r="B31" s="4" t="s">
        <v>33</v>
      </c>
      <c r="C31" s="5">
        <v>0.807442483495974</v>
      </c>
      <c r="D31" s="6">
        <v>0.813819577735125</v>
      </c>
      <c r="E31" s="5">
        <v>0.561521978317141</v>
      </c>
      <c r="F31" s="6">
        <v>0.712092130518234</v>
      </c>
    </row>
    <row r="32" customHeight="1" spans="1:6">
      <c r="A32" s="3">
        <v>28</v>
      </c>
      <c r="B32" s="4" t="s">
        <v>34</v>
      </c>
      <c r="C32" s="5">
        <v>0.87874209569193</v>
      </c>
      <c r="D32" s="6">
        <v>0.900191938579655</v>
      </c>
      <c r="E32" s="5">
        <v>0.663738915703221</v>
      </c>
      <c r="F32" s="6">
        <v>0.796545105566219</v>
      </c>
    </row>
    <row r="33" customHeight="1" spans="1:6">
      <c r="A33" s="3">
        <v>29</v>
      </c>
      <c r="B33" s="4" t="s">
        <v>35</v>
      </c>
      <c r="C33" s="5">
        <v>0.600824701203316</v>
      </c>
      <c r="D33" s="6">
        <v>0.696737044145873</v>
      </c>
      <c r="E33" s="5">
        <v>0.417600895797155</v>
      </c>
      <c r="F33" s="6">
        <v>0.618042226487524</v>
      </c>
    </row>
    <row r="34" customHeight="1" spans="1:6">
      <c r="A34" s="3">
        <v>30</v>
      </c>
      <c r="B34" s="4" t="s">
        <v>36</v>
      </c>
      <c r="C34" s="5">
        <v>0.4718283475187</v>
      </c>
      <c r="D34" s="6">
        <v>0.560460652591171</v>
      </c>
      <c r="E34" s="5">
        <v>0.355855321065237</v>
      </c>
      <c r="F34" s="6">
        <v>0.514395393474088</v>
      </c>
    </row>
    <row r="35" customHeight="1" spans="1:6">
      <c r="A35" s="7"/>
      <c r="B35" s="8" t="s">
        <v>37</v>
      </c>
      <c r="C35" s="9">
        <f>AVERAGE(C5,C6,C7,C8,C9,C10)</f>
        <v>0.749867355190357</v>
      </c>
      <c r="D35" s="10">
        <f>AVERAGE(D5,D6,D7,D8,D9,D10)</f>
        <v>0.745681381957774</v>
      </c>
      <c r="E35" s="9">
        <f>AVERAGE(E5,E6,E7,E8,E9,E10)</f>
        <v>0.335144361742173</v>
      </c>
      <c r="F35" s="10">
        <f>AVERAGE(F5,F6,F7,F8,F9,F10)</f>
        <v>0.523032629558541</v>
      </c>
    </row>
    <row r="36" customHeight="1" spans="1:6">
      <c r="A36" s="7"/>
      <c r="B36" s="8" t="s">
        <v>38</v>
      </c>
      <c r="C36" s="9">
        <f>AVERAGE(C11,C12,C13,C14,C15,C16)</f>
        <v>0.647600208935081</v>
      </c>
      <c r="D36" s="10">
        <f>AVERAGE(D11,D12,D13,D14,D15,D16)</f>
        <v>0.657389635316699</v>
      </c>
      <c r="E36" s="9">
        <f>AVERAGE(E11,E12,E13,E14,E15,E16)</f>
        <v>0.300857297916274</v>
      </c>
      <c r="F36" s="10">
        <f>AVERAGE(F11,F12,F13,F14,F15,F16)</f>
        <v>0.463851567498401</v>
      </c>
    </row>
    <row r="37" customHeight="1" spans="1:6">
      <c r="A37" s="7"/>
      <c r="B37" s="8" t="s">
        <v>39</v>
      </c>
      <c r="C37" s="9">
        <f>AVERAGE(C17,C18,C19,C20,C21,C22)</f>
        <v>0.578302240013053</v>
      </c>
      <c r="D37" s="10">
        <f>AVERAGE(D17,D18,D19,D20,D21,D22)</f>
        <v>0.606525911708253</v>
      </c>
      <c r="E37" s="9">
        <f>AVERAGE(E17,E18,E19,E20,E21,E22)</f>
        <v>0.291075768146518</v>
      </c>
      <c r="F37" s="10">
        <f>AVERAGE(F17,F18,F19,F20,F21,F22)</f>
        <v>0.498080614203455</v>
      </c>
    </row>
    <row r="38" customHeight="1" spans="1:6">
      <c r="A38" s="7"/>
      <c r="B38" s="8" t="s">
        <v>40</v>
      </c>
      <c r="C38" s="9">
        <f>AVERAGE(C23,C24,C25,C26,C27,C28)</f>
        <v>0.525039259565575</v>
      </c>
      <c r="D38" s="10">
        <f>AVERAGE(D23,D24,D25,D26,D27,D28)</f>
        <v>0.609404990403071</v>
      </c>
      <c r="E38" s="9">
        <f>AVERAGE(E23,E24,E25,E26,E27,E28)</f>
        <v>0.281213282548796</v>
      </c>
      <c r="F38" s="10">
        <f>AVERAGE(F23,F24,F25,F26,F27,F28)</f>
        <v>0.499680102367242</v>
      </c>
    </row>
    <row r="39" customHeight="1" spans="1:6">
      <c r="A39" s="7"/>
      <c r="B39" s="8" t="s">
        <v>41</v>
      </c>
      <c r="C39" s="9">
        <f>AVERAGE(C29,C30,C31,C32,C33,C34)</f>
        <v>0.687681338366605</v>
      </c>
      <c r="D39" s="10">
        <f>AVERAGE(D29,D30,D31,D32,D33,D34)</f>
        <v>0.72296865003199</v>
      </c>
      <c r="E39" s="9">
        <f>AVERAGE(E29,E30,E31,E32,E33,E34)</f>
        <v>0.463233396926255</v>
      </c>
      <c r="F39" s="10">
        <f>AVERAGE(F29,F30,F31,F32,F33,F34)</f>
        <v>0.634357005758157</v>
      </c>
    </row>
    <row r="40" customHeight="1" spans="1:6">
      <c r="A40" s="7"/>
      <c r="B40" s="8" t="s">
        <v>42</v>
      </c>
      <c r="C40" s="9">
        <f>AVERAGE(C5,C6,C11,C12,C17,C18,C23,C24,C29,C30)</f>
        <v>0.667166420069784</v>
      </c>
      <c r="D40" s="10">
        <f>AVERAGE(D5,D6,D11,D12,D17,D18,D23,D24,D29,D30)</f>
        <v>0.656813819577735</v>
      </c>
      <c r="E40" s="9">
        <f>AVERAGE(E5,E6,E11,E12,E17,E18,E23,E24,E29,E30)</f>
        <v>0.350663438367039</v>
      </c>
      <c r="F40" s="10">
        <f>AVERAGE(F5,F6,F11,F12,F17,F18,F23,F24,F29,F30)</f>
        <v>0.519385796545106</v>
      </c>
    </row>
    <row r="41" customHeight="1" spans="1:6">
      <c r="A41" s="7"/>
      <c r="B41" s="8" t="s">
        <v>43</v>
      </c>
      <c r="C41" s="9">
        <f>AVERAGE(C7,C8,C13,C14,C19,C20,C25,C26,C31,C32)</f>
        <v>0.75140511603902</v>
      </c>
      <c r="D41" s="10">
        <f>AVERAGE(D7,D8,D13,D14,D19,D20,D25,D26,D31,D32)</f>
        <v>0.742034548944338</v>
      </c>
      <c r="E41" s="9">
        <f>AVERAGE(E7,E8,E13,E14,E19,E20,E25,E26,E31,E32)</f>
        <v>0.403988811129016</v>
      </c>
      <c r="F41" s="10">
        <f>AVERAGE(F7,F8,F13,F14,F19,F20,F25,F26,F31,F32)</f>
        <v>0.571593090211132</v>
      </c>
    </row>
    <row r="42" customHeight="1" spans="1:6">
      <c r="A42" s="7"/>
      <c r="B42" s="8" t="s">
        <v>44</v>
      </c>
      <c r="C42" s="9">
        <f>AVERAGE(C9,C10,C15,C16,C21,C22,C27,C28,C33,C34)</f>
        <v>0.494522705133599</v>
      </c>
      <c r="D42" s="10">
        <f>AVERAGE(D9,D10,D15,D16,D21,D22,D27,D28,D33,D34)</f>
        <v>0.606333973128599</v>
      </c>
      <c r="E42" s="9">
        <f>AVERAGE(E9,E10,E15,E16,E21,E22,E27,E28,E33,E34)</f>
        <v>0.248262214871955</v>
      </c>
      <c r="F42" s="10">
        <f>AVERAGE(F9,F10,F15,F16,F21,F22,F27,F28,F33,F34)</f>
        <v>0.48042226487524</v>
      </c>
    </row>
    <row r="43" customHeight="1" spans="1:6">
      <c r="A43" s="11"/>
      <c r="B43" s="12" t="s">
        <v>45</v>
      </c>
      <c r="C43" s="13">
        <f>AVERAGE(C5,C6,C7,C8,C9,C10,C11,C12,C13,C14,C15,C16,C17,C18,C19,C20,C21,C22,C23,C24,C25,C26,C27,C28,C29,C30,C31,C32,C33,C34)</f>
        <v>0.637698080414134</v>
      </c>
      <c r="D43" s="14">
        <f>AVERAGE(D5,D6,D7,D8,D9,D10,D11,D12,D13,D14,D15,D16,D17,D18,D19,D20,D21,D22,D23,D24,D25,D26,D27,D28,D29,D30,D31,D32,D33,D34)</f>
        <v>0.668394113883558</v>
      </c>
      <c r="E43" s="13">
        <f>AVERAGE(E5,E6,E7,E8,E9,E10,E11,E12,E13,E14,E15,E16,E17,E18,E19,E20,E21,E22,E23,E24,E25,E26,E27,E28,E29,E30,E31,E32,E33,E34)</f>
        <v>0.334304821456003</v>
      </c>
      <c r="F43" s="14">
        <f>AVERAGE(F5,F6,F7,F8,F9,F10,F11,F12,F13,F14,F15,F16,F17,F18,F19,F20,F21,F22,F23,F24,F25,F26,F27,F28,F29,F30,F31,F32,F33,F34)</f>
        <v>0.523800383877159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F43"/>
  <sheetViews>
    <sheetView showGridLines="0" zoomScale="70" zoomScaleNormal="70" workbookViewId="0">
      <pane ySplit="4" topLeftCell="A5" activePane="bottomLeft" state="frozen"/>
      <selection/>
      <selection pane="bottomLeft" activeCell="B42" sqref="B42"/>
    </sheetView>
  </sheetViews>
  <sheetFormatPr defaultColWidth="9" defaultRowHeight="15" customHeight="1" outlineLevelCol="5"/>
  <cols>
    <col min="1" max="1" width="6" customWidth="1"/>
    <col min="2" max="2" width="70" customWidth="1"/>
    <col min="3" max="6" width="20" customWidth="1"/>
  </cols>
  <sheetData>
    <row r="2" customHeight="1" spans="1:6">
      <c r="A2" s="1" t="s">
        <v>49</v>
      </c>
    </row>
    <row r="4" customHeight="1" spans="1:6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</row>
    <row r="5" customHeight="1" spans="1:6">
      <c r="A5" s="3">
        <v>1</v>
      </c>
      <c r="B5" s="4" t="s">
        <v>7</v>
      </c>
      <c r="C5" s="5">
        <v>0.728574084402305</v>
      </c>
      <c r="D5" s="6">
        <v>0.73125</v>
      </c>
      <c r="E5" s="5">
        <v>0.411648568608095</v>
      </c>
      <c r="F5" s="6">
        <v>0.6125</v>
      </c>
    </row>
    <row r="6" customHeight="1" spans="1:6">
      <c r="A6" s="3">
        <v>2</v>
      </c>
      <c r="B6" s="4" t="s">
        <v>8</v>
      </c>
      <c r="C6" s="5">
        <v>0.790229091912779</v>
      </c>
      <c r="D6" s="6">
        <v>0.7375</v>
      </c>
      <c r="E6" s="5">
        <v>0.406353063704218</v>
      </c>
      <c r="F6" s="6">
        <v>0.5875</v>
      </c>
    </row>
    <row r="7" customHeight="1" spans="1:6">
      <c r="A7" s="3">
        <v>3</v>
      </c>
      <c r="B7" s="4" t="s">
        <v>9</v>
      </c>
      <c r="C7" s="5">
        <v>0.72104251419375</v>
      </c>
      <c r="D7" s="6">
        <v>0.71875</v>
      </c>
      <c r="E7" s="5">
        <v>0.387333208043601</v>
      </c>
      <c r="F7" s="6">
        <v>0.6</v>
      </c>
    </row>
    <row r="8" customHeight="1" spans="1:6">
      <c r="A8" s="3">
        <v>4</v>
      </c>
      <c r="B8" s="4" t="s">
        <v>10</v>
      </c>
      <c r="C8" s="5">
        <v>0.805411979325023</v>
      </c>
      <c r="D8" s="6">
        <v>0.78125</v>
      </c>
      <c r="E8" s="5">
        <v>0.408883634521196</v>
      </c>
      <c r="F8" s="6">
        <v>0.6</v>
      </c>
    </row>
    <row r="9" customHeight="1" spans="1:6">
      <c r="A9" s="3">
        <v>5</v>
      </c>
      <c r="B9" s="4" t="s">
        <v>11</v>
      </c>
      <c r="C9" s="5">
        <v>0.71852586945735</v>
      </c>
      <c r="D9" s="6">
        <v>0.71875</v>
      </c>
      <c r="E9" s="5">
        <v>0.347638070919649</v>
      </c>
      <c r="F9" s="6">
        <v>0.55</v>
      </c>
    </row>
    <row r="10" customHeight="1" spans="1:6">
      <c r="A10" s="3">
        <v>6</v>
      </c>
      <c r="B10" s="4" t="s">
        <v>12</v>
      </c>
      <c r="C10" s="5">
        <v>0.705757944271136</v>
      </c>
      <c r="D10" s="6">
        <v>0.654088050314465</v>
      </c>
      <c r="E10" s="5">
        <v>0.283606150793651</v>
      </c>
      <c r="F10" s="6">
        <v>0.421383647798742</v>
      </c>
    </row>
    <row r="11" customHeight="1" spans="1:6">
      <c r="A11" s="3">
        <v>7</v>
      </c>
      <c r="B11" s="4" t="s">
        <v>13</v>
      </c>
      <c r="C11" s="5">
        <v>0.702834799608993</v>
      </c>
      <c r="D11" s="6">
        <v>0.65625</v>
      </c>
      <c r="E11" s="5">
        <v>0.460936763735746</v>
      </c>
      <c r="F11" s="6">
        <v>0.59375</v>
      </c>
    </row>
    <row r="12" customHeight="1" spans="1:6">
      <c r="A12" s="3">
        <v>8</v>
      </c>
      <c r="B12" s="4" t="s">
        <v>14</v>
      </c>
      <c r="C12" s="5">
        <v>0.700389695834809</v>
      </c>
      <c r="D12" s="6">
        <v>0.66875</v>
      </c>
      <c r="E12" s="5">
        <v>0.381508936286325</v>
      </c>
      <c r="F12" s="6">
        <v>0.51875</v>
      </c>
    </row>
    <row r="13" customHeight="1" spans="1:6">
      <c r="A13" s="3">
        <v>9</v>
      </c>
      <c r="B13" s="4" t="s">
        <v>15</v>
      </c>
      <c r="C13" s="5">
        <v>0.838056680161943</v>
      </c>
      <c r="D13" s="6">
        <v>0.79375</v>
      </c>
      <c r="E13" s="5">
        <v>0.419522813607068</v>
      </c>
      <c r="F13" s="6">
        <v>0.59375</v>
      </c>
    </row>
    <row r="14" customHeight="1" spans="1:6">
      <c r="A14" s="3">
        <v>10</v>
      </c>
      <c r="B14" s="4" t="s">
        <v>16</v>
      </c>
      <c r="C14" s="5">
        <v>0.764229787982757</v>
      </c>
      <c r="D14" s="6">
        <v>0.76875</v>
      </c>
      <c r="E14" s="5">
        <v>0.427779516294872</v>
      </c>
      <c r="F14" s="6">
        <v>0.61875</v>
      </c>
    </row>
    <row r="15" customHeight="1" spans="1:6">
      <c r="A15" s="3">
        <v>11</v>
      </c>
      <c r="B15" s="4" t="s">
        <v>17</v>
      </c>
      <c r="C15" s="5">
        <v>0.60267093427515</v>
      </c>
      <c r="D15" s="6">
        <v>0.625</v>
      </c>
      <c r="E15" s="5">
        <v>0.231856347161028</v>
      </c>
      <c r="F15" s="6">
        <v>0.4</v>
      </c>
    </row>
    <row r="16" customHeight="1" spans="1:6">
      <c r="A16" s="3">
        <v>12</v>
      </c>
      <c r="B16" s="4" t="s">
        <v>18</v>
      </c>
      <c r="C16" s="5">
        <v>0.456822030122092</v>
      </c>
      <c r="D16" s="6">
        <v>0.522012578616352</v>
      </c>
      <c r="E16" s="5">
        <v>0.31509253350351</v>
      </c>
      <c r="F16" s="6">
        <v>0.377358490566038</v>
      </c>
    </row>
    <row r="17" customHeight="1" spans="1:6">
      <c r="A17" s="3">
        <v>13</v>
      </c>
      <c r="B17" s="4" t="s">
        <v>19</v>
      </c>
      <c r="C17" s="5">
        <v>0.694638829448846</v>
      </c>
      <c r="D17" s="6">
        <v>0.71875</v>
      </c>
      <c r="E17" s="5">
        <v>0.478301015697138</v>
      </c>
      <c r="F17" s="6">
        <v>0.575</v>
      </c>
    </row>
    <row r="18" customHeight="1" spans="1:6">
      <c r="A18" s="3">
        <v>14</v>
      </c>
      <c r="B18" s="4" t="s">
        <v>20</v>
      </c>
      <c r="C18" s="5">
        <v>0.68595041322314</v>
      </c>
      <c r="D18" s="6">
        <v>0.69375</v>
      </c>
      <c r="E18" s="5">
        <v>0.357056207035989</v>
      </c>
      <c r="F18" s="6">
        <v>0.53125</v>
      </c>
    </row>
    <row r="19" customHeight="1" spans="1:6">
      <c r="A19" s="3">
        <v>15</v>
      </c>
      <c r="B19" s="4" t="s">
        <v>21</v>
      </c>
      <c r="C19" s="5">
        <v>0.740757644911</v>
      </c>
      <c r="D19" s="6">
        <v>0.725</v>
      </c>
      <c r="E19" s="5">
        <v>0.379576107899807</v>
      </c>
      <c r="F19" s="6">
        <v>0.575</v>
      </c>
    </row>
    <row r="20" customHeight="1" spans="1:6">
      <c r="A20" s="3">
        <v>16</v>
      </c>
      <c r="B20" s="4" t="s">
        <v>22</v>
      </c>
      <c r="C20" s="5">
        <v>0.478694469628286</v>
      </c>
      <c r="D20" s="6">
        <v>0.50625</v>
      </c>
      <c r="E20" s="5">
        <v>0.293478260869565</v>
      </c>
      <c r="F20" s="6">
        <v>0.4375</v>
      </c>
    </row>
    <row r="21" customHeight="1" spans="1:6">
      <c r="A21" s="3">
        <v>17</v>
      </c>
      <c r="B21" s="4" t="s">
        <v>23</v>
      </c>
      <c r="C21" s="5">
        <v>0.67869892899643</v>
      </c>
      <c r="D21" s="6">
        <v>0.64375</v>
      </c>
      <c r="E21" s="5">
        <v>0.313242669317309</v>
      </c>
      <c r="F21" s="6">
        <v>0.4875</v>
      </c>
    </row>
    <row r="22" customHeight="1" spans="1:6">
      <c r="A22" s="3">
        <v>18</v>
      </c>
      <c r="B22" s="4" t="s">
        <v>24</v>
      </c>
      <c r="C22" s="5">
        <v>0.31113662456946</v>
      </c>
      <c r="D22" s="6">
        <v>0.60625</v>
      </c>
      <c r="E22" s="5">
        <v>0.00302114803625375</v>
      </c>
      <c r="F22" s="6">
        <v>0.49375</v>
      </c>
    </row>
    <row r="23" customHeight="1" spans="1:6">
      <c r="A23" s="3">
        <v>19</v>
      </c>
      <c r="B23" s="4" t="s">
        <v>25</v>
      </c>
      <c r="C23" s="5">
        <v>0.620811287477954</v>
      </c>
      <c r="D23" s="6">
        <v>0.63125</v>
      </c>
      <c r="E23" s="5">
        <v>0.353146853146853</v>
      </c>
      <c r="F23" s="6">
        <v>0.525</v>
      </c>
    </row>
    <row r="24" customHeight="1" spans="1:6">
      <c r="A24" s="3">
        <v>20</v>
      </c>
      <c r="B24" s="4" t="s">
        <v>26</v>
      </c>
      <c r="C24" s="5">
        <v>0.46907717832828</v>
      </c>
      <c r="D24" s="6">
        <v>0.55625</v>
      </c>
      <c r="E24" s="5">
        <v>0.223946784922395</v>
      </c>
      <c r="F24" s="6">
        <v>0.39375</v>
      </c>
    </row>
    <row r="25" customHeight="1" spans="1:6">
      <c r="A25" s="3">
        <v>21</v>
      </c>
      <c r="B25" s="4" t="s">
        <v>27</v>
      </c>
      <c r="C25" s="5">
        <v>0.782162306936881</v>
      </c>
      <c r="D25" s="6">
        <v>0.76875</v>
      </c>
      <c r="E25" s="5">
        <v>0.450009105809506</v>
      </c>
      <c r="F25" s="6">
        <v>0.61875</v>
      </c>
    </row>
    <row r="26" customHeight="1" spans="1:6">
      <c r="A26" s="3">
        <v>22</v>
      </c>
      <c r="B26" s="4" t="s">
        <v>28</v>
      </c>
      <c r="C26" s="5">
        <v>0.828571428571429</v>
      </c>
      <c r="D26" s="6">
        <v>0.79375</v>
      </c>
      <c r="E26" s="5">
        <v>0.324653506929861</v>
      </c>
      <c r="F26" s="6">
        <v>0.53125</v>
      </c>
    </row>
    <row r="27" customHeight="1" spans="1:6">
      <c r="A27" s="3">
        <v>23</v>
      </c>
      <c r="B27" s="4" t="s">
        <v>29</v>
      </c>
      <c r="C27" s="5">
        <v>0.166211541962498</v>
      </c>
      <c r="D27" s="6">
        <v>0.50625</v>
      </c>
      <c r="E27" s="5">
        <v>0.139194139194139</v>
      </c>
      <c r="F27" s="6">
        <v>0.59375</v>
      </c>
    </row>
    <row r="28" customHeight="1" spans="1:6">
      <c r="A28" s="3">
        <v>24</v>
      </c>
      <c r="B28" s="4" t="s">
        <v>30</v>
      </c>
      <c r="C28" s="5">
        <v>0.413138958975797</v>
      </c>
      <c r="D28" s="6">
        <v>0.58125</v>
      </c>
      <c r="E28" s="5">
        <v>0.25477955520874</v>
      </c>
      <c r="F28" s="6">
        <v>0.51875</v>
      </c>
    </row>
    <row r="29" customHeight="1" spans="1:6">
      <c r="A29" s="3">
        <v>25</v>
      </c>
      <c r="B29" s="4" t="s">
        <v>31</v>
      </c>
      <c r="C29" s="5">
        <v>0.708029197080292</v>
      </c>
      <c r="D29" s="6">
        <v>0.79375</v>
      </c>
      <c r="E29" s="5">
        <v>0.380196523053666</v>
      </c>
      <c r="F29" s="6">
        <v>0.63125</v>
      </c>
    </row>
    <row r="30" customHeight="1" spans="1:6">
      <c r="A30" s="3">
        <v>26</v>
      </c>
      <c r="B30" s="4" t="s">
        <v>32</v>
      </c>
      <c r="C30" s="5">
        <v>0.675415748347025</v>
      </c>
      <c r="D30" s="6">
        <v>0.7375</v>
      </c>
      <c r="E30" s="5">
        <v>0.499543378995434</v>
      </c>
      <c r="F30" s="6">
        <v>0.65</v>
      </c>
    </row>
    <row r="31" customHeight="1" spans="1:6">
      <c r="A31" s="3">
        <v>27</v>
      </c>
      <c r="B31" s="4" t="s">
        <v>33</v>
      </c>
      <c r="C31" s="5">
        <v>0.768352921137796</v>
      </c>
      <c r="D31" s="6">
        <v>0.8</v>
      </c>
      <c r="E31" s="5">
        <v>0.516646115906289</v>
      </c>
      <c r="F31" s="6">
        <v>0.7</v>
      </c>
    </row>
    <row r="32" customHeight="1" spans="1:6">
      <c r="A32" s="3">
        <v>28</v>
      </c>
      <c r="B32" s="4" t="s">
        <v>34</v>
      </c>
      <c r="C32" s="5">
        <v>0.824639740207022</v>
      </c>
      <c r="D32" s="6">
        <v>0.86875</v>
      </c>
      <c r="E32" s="5">
        <v>0.653019862180786</v>
      </c>
      <c r="F32" s="6">
        <v>0.78125</v>
      </c>
    </row>
    <row r="33" customHeight="1" spans="1:6">
      <c r="A33" s="3">
        <v>29</v>
      </c>
      <c r="B33" s="4" t="s">
        <v>35</v>
      </c>
      <c r="C33" s="5">
        <v>0.659248956884562</v>
      </c>
      <c r="D33" s="6">
        <v>0.74375</v>
      </c>
      <c r="E33" s="5">
        <v>0.374329090630271</v>
      </c>
      <c r="F33" s="6">
        <v>0.60625</v>
      </c>
    </row>
    <row r="34" customHeight="1" spans="1:6">
      <c r="A34" s="3">
        <v>30</v>
      </c>
      <c r="B34" s="4" t="s">
        <v>36</v>
      </c>
      <c r="C34" s="5">
        <v>0.363265306122449</v>
      </c>
      <c r="D34" s="6">
        <v>0.53125</v>
      </c>
      <c r="E34" s="5">
        <v>0.313131313131313</v>
      </c>
      <c r="F34" s="6">
        <v>0.475</v>
      </c>
    </row>
    <row r="35" customHeight="1" spans="1:6">
      <c r="A35" s="7"/>
      <c r="B35" s="8" t="s">
        <v>37</v>
      </c>
      <c r="C35" s="9">
        <f>AVERAGE(C5,C6,C7,C8,C9,C10)</f>
        <v>0.744923580593724</v>
      </c>
      <c r="D35" s="10">
        <f>AVERAGE(D5,D6,D7,D8,D9,D10)</f>
        <v>0.723598008385744</v>
      </c>
      <c r="E35" s="9">
        <f>AVERAGE(E5,E6,E7,E8,E9,E10)</f>
        <v>0.374243782765068</v>
      </c>
      <c r="F35" s="10">
        <f>AVERAGE(F5,F6,F7,F8,F9,F10)</f>
        <v>0.561897274633124</v>
      </c>
    </row>
    <row r="36" customHeight="1" spans="1:6">
      <c r="A36" s="7"/>
      <c r="B36" s="8" t="s">
        <v>38</v>
      </c>
      <c r="C36" s="9">
        <f>AVERAGE(C11,C12,C13,C14,C15,C16)</f>
        <v>0.677500654664291</v>
      </c>
      <c r="D36" s="10">
        <f>AVERAGE(D11,D12,D13,D14,D15,D16)</f>
        <v>0.672418763102725</v>
      </c>
      <c r="E36" s="9">
        <f>AVERAGE(E11,E12,E13,E14,E15,E16)</f>
        <v>0.372782818431425</v>
      </c>
      <c r="F36" s="10">
        <f>AVERAGE(F11,F12,F13,F14,F15,F16)</f>
        <v>0.517059748427673</v>
      </c>
    </row>
    <row r="37" customHeight="1" spans="1:6">
      <c r="A37" s="7"/>
      <c r="B37" s="8" t="s">
        <v>39</v>
      </c>
      <c r="C37" s="9">
        <f>AVERAGE(C17,C18,C19,C20,C21,C22)</f>
        <v>0.598312818462861</v>
      </c>
      <c r="D37" s="10">
        <f>AVERAGE(D17,D18,D19,D20,D21,D22)</f>
        <v>0.648958333333333</v>
      </c>
      <c r="E37" s="9">
        <f>AVERAGE(E17,E18,E19,E20,E21,E22)</f>
        <v>0.304112568142677</v>
      </c>
      <c r="F37" s="10">
        <f>AVERAGE(F17,F18,F19,F20,F21,F22)</f>
        <v>0.516666666666667</v>
      </c>
    </row>
    <row r="38" customHeight="1" spans="1:6">
      <c r="A38" s="7"/>
      <c r="B38" s="8" t="s">
        <v>40</v>
      </c>
      <c r="C38" s="9">
        <f>AVERAGE(C23,C24,C25,C26,C27,C28)</f>
        <v>0.54666211704214</v>
      </c>
      <c r="D38" s="10">
        <f>AVERAGE(D23,D24,D25,D26,D27,D28)</f>
        <v>0.639583333333333</v>
      </c>
      <c r="E38" s="9">
        <f>AVERAGE(E23,E24,E25,E26,E27,E28)</f>
        <v>0.290954990868582</v>
      </c>
      <c r="F38" s="10">
        <f>AVERAGE(F23,F24,F25,F26,F27,F28)</f>
        <v>0.530208333333333</v>
      </c>
    </row>
    <row r="39" customHeight="1" spans="1:6">
      <c r="A39" s="7"/>
      <c r="B39" s="8" t="s">
        <v>41</v>
      </c>
      <c r="C39" s="9">
        <f>AVERAGE(C29,C30,C31,C32,C33,C34)</f>
        <v>0.666491978296524</v>
      </c>
      <c r="D39" s="10">
        <f>AVERAGE(D29,D30,D31,D32,D33,D34)</f>
        <v>0.745833333333333</v>
      </c>
      <c r="E39" s="9">
        <f>AVERAGE(E29,E30,E31,E32,E33,E34)</f>
        <v>0.456144380649627</v>
      </c>
      <c r="F39" s="10">
        <f>AVERAGE(F29,F30,F31,F32,F33,F34)</f>
        <v>0.640625</v>
      </c>
    </row>
    <row r="40" customHeight="1" spans="1:6">
      <c r="A40" s="7"/>
      <c r="B40" s="8" t="s">
        <v>42</v>
      </c>
      <c r="C40" s="9">
        <f>AVERAGE(C5,C6,C11,C12,C17,C18,C23,C24,C29,C30)</f>
        <v>0.677595032566442</v>
      </c>
      <c r="D40" s="10">
        <f>AVERAGE(D5,D6,D11,D12,D17,D18,D23,D24,D29,D30)</f>
        <v>0.6925</v>
      </c>
      <c r="E40" s="9">
        <f>AVERAGE(E5,E6,E11,E12,E17,E18,E23,E24,E29,E30)</f>
        <v>0.395263809518586</v>
      </c>
      <c r="F40" s="10">
        <f>AVERAGE(F5,F6,F11,F12,F17,F18,F23,F24,F29,F30)</f>
        <v>0.561875</v>
      </c>
    </row>
    <row r="41" customHeight="1" spans="1:6">
      <c r="A41" s="7"/>
      <c r="B41" s="8" t="s">
        <v>43</v>
      </c>
      <c r="C41" s="9">
        <f>AVERAGE(C7,C8,C13,C14,C19,C20,C25,C26,C31,C32)</f>
        <v>0.755191947305589</v>
      </c>
      <c r="D41" s="10">
        <f>AVERAGE(D7,D8,D13,D14,D19,D20,D25,D26,D31,D32)</f>
        <v>0.7525</v>
      </c>
      <c r="E41" s="9">
        <f>AVERAGE(E7,E8,E13,E14,E19,E20,E25,E26,E31,E32)</f>
        <v>0.426090213206255</v>
      </c>
      <c r="F41" s="10">
        <f>AVERAGE(F7,F8,F13,F14,F19,F20,F25,F26,F31,F32)</f>
        <v>0.605625</v>
      </c>
    </row>
    <row r="42" customHeight="1" spans="1:6">
      <c r="A42" s="7"/>
      <c r="B42" s="8" t="s">
        <v>44</v>
      </c>
      <c r="C42" s="9">
        <f>AVERAGE(C9,C10,C15,C16,C21,C22,C27,C28,C33,C34)</f>
        <v>0.507547709563693</v>
      </c>
      <c r="D42" s="10">
        <f>AVERAGE(D9,D10,D15,D16,D21,D22,D27,D28,D33,D34)</f>
        <v>0.613235062893082</v>
      </c>
      <c r="E42" s="9">
        <f>AVERAGE(E9,E10,E15,E16,E21,E22,E27,E28,E33,E34)</f>
        <v>0.257589101789586</v>
      </c>
      <c r="F42" s="10">
        <f>AVERAGE(F9,F10,F15,F16,F21,F22,F27,F28,F33,F34)</f>
        <v>0.492374213836478</v>
      </c>
    </row>
    <row r="43" customHeight="1" spans="1:6">
      <c r="A43" s="11"/>
      <c r="B43" s="12" t="s">
        <v>45</v>
      </c>
      <c r="C43" s="13">
        <f>AVERAGE(C5,C6,C7,C8,C9,C10,C11,C12,C13,C14,C15,C16,C17,C18,C19,C20,C21,C22,C23,C24,C25,C26,C27,C28,C29,C30,C31,C32,C33,C34)</f>
        <v>0.646778229811908</v>
      </c>
      <c r="D43" s="14">
        <f>AVERAGE(D5,D6,D7,D8,D9,D10,D11,D12,D13,D14,D15,D16,D17,D18,D19,D20,D21,D22,D23,D24,D25,D26,D27,D28,D29,D30,D31,D32,D33,D34)</f>
        <v>0.686078354297694</v>
      </c>
      <c r="E43" s="13">
        <f>AVERAGE(E5,E6,E7,E8,E9,E10,E11,E12,E13,E14,E15,E16,E17,E18,E19,E20,E21,E22,E23,E24,E25,E26,E27,E28,E29,E30,E31,E32,E33,E34)</f>
        <v>0.359647708171476</v>
      </c>
      <c r="F43" s="14">
        <f>AVERAGE(F5,F6,F7,F8,F9,F10,F11,F12,F13,F14,F15,F16,F17,F18,F19,F20,F21,F22,F23,F24,F25,F26,F27,F28,F29,F30,F31,F32,F33,F34)</f>
        <v>0.553291404612159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F43"/>
  <sheetViews>
    <sheetView showGridLines="0" zoomScale="55" zoomScaleNormal="55" workbookViewId="0">
      <pane ySplit="4" topLeftCell="A5" activePane="bottomLeft" state="frozen"/>
      <selection/>
      <selection pane="bottomLeft" activeCell="I21" sqref="I21"/>
    </sheetView>
  </sheetViews>
  <sheetFormatPr defaultColWidth="9" defaultRowHeight="16" customHeight="1" outlineLevelCol="5"/>
  <cols>
    <col min="1" max="1" width="6" customWidth="1"/>
    <col min="2" max="2" width="70" customWidth="1"/>
    <col min="3" max="6" width="20" customWidth="1"/>
  </cols>
  <sheetData>
    <row r="2" customHeight="1" spans="1:6">
      <c r="A2" s="1" t="s">
        <v>50</v>
      </c>
    </row>
    <row r="4" customHeight="1" spans="1:6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</row>
    <row r="5" customHeight="1" spans="1:6">
      <c r="A5" s="3">
        <v>1</v>
      </c>
      <c r="B5" s="4" t="s">
        <v>7</v>
      </c>
      <c r="C5" s="5">
        <v>0.725766197464311</v>
      </c>
      <c r="D5" s="6">
        <v>0.682926829268293</v>
      </c>
      <c r="E5" s="5">
        <v>0.371539693433997</v>
      </c>
      <c r="F5" s="6">
        <v>0.585365853658537</v>
      </c>
    </row>
    <row r="6" customHeight="1" spans="1:6">
      <c r="A6" s="3">
        <v>2</v>
      </c>
      <c r="B6" s="4" t="s">
        <v>8</v>
      </c>
      <c r="C6" s="5">
        <v>0.743612649633732</v>
      </c>
      <c r="D6" s="6">
        <v>0.682926829268293</v>
      </c>
      <c r="E6" s="5">
        <v>0.256624825662483</v>
      </c>
      <c r="F6" s="6">
        <v>0.5</v>
      </c>
    </row>
    <row r="7" customHeight="1" spans="1:6">
      <c r="A7" s="3">
        <v>3</v>
      </c>
      <c r="B7" s="4" t="s">
        <v>9</v>
      </c>
      <c r="C7" s="5">
        <v>0.777517893062637</v>
      </c>
      <c r="D7" s="6">
        <v>0.719512195121951</v>
      </c>
      <c r="E7" s="5">
        <v>0.34217961654894</v>
      </c>
      <c r="F7" s="6">
        <v>0.597560975609756</v>
      </c>
    </row>
    <row r="8" customHeight="1" spans="1:6">
      <c r="A8" s="3">
        <v>4</v>
      </c>
      <c r="B8" s="4" t="s">
        <v>10</v>
      </c>
      <c r="C8" s="5">
        <v>0.78421968507279</v>
      </c>
      <c r="D8" s="6">
        <v>0.75</v>
      </c>
      <c r="E8" s="5">
        <v>0.244929417491481</v>
      </c>
      <c r="F8" s="6">
        <v>0.475609756097561</v>
      </c>
    </row>
    <row r="9" customHeight="1" spans="1:6">
      <c r="A9" s="3">
        <v>5</v>
      </c>
      <c r="B9" s="4" t="s">
        <v>11</v>
      </c>
      <c r="C9" s="5">
        <v>0.677908049005401</v>
      </c>
      <c r="D9" s="6">
        <v>0.705521472392638</v>
      </c>
      <c r="E9" s="5">
        <v>0.184399363872619</v>
      </c>
      <c r="F9" s="6">
        <v>0.447852760736196</v>
      </c>
    </row>
    <row r="10" customHeight="1" spans="1:6">
      <c r="A10" s="3">
        <v>6</v>
      </c>
      <c r="B10" s="4" t="s">
        <v>12</v>
      </c>
      <c r="C10" s="5">
        <v>0.579346054271742</v>
      </c>
      <c r="D10" s="6">
        <v>0.585365853658537</v>
      </c>
      <c r="E10" s="5">
        <v>0.116634944803959</v>
      </c>
      <c r="F10" s="6">
        <v>0.317073170731707</v>
      </c>
    </row>
    <row r="11" customHeight="1" spans="1:6">
      <c r="A11" s="3">
        <v>7</v>
      </c>
      <c r="B11" s="4" t="s">
        <v>13</v>
      </c>
      <c r="C11" s="5">
        <v>0.731000546746856</v>
      </c>
      <c r="D11" s="6">
        <v>0.707317073170732</v>
      </c>
      <c r="E11" s="5">
        <v>0.318774251318277</v>
      </c>
      <c r="F11" s="6">
        <v>0.585365853658537</v>
      </c>
    </row>
    <row r="12" customHeight="1" spans="1:6">
      <c r="A12" s="3">
        <v>8</v>
      </c>
      <c r="B12" s="4" t="s">
        <v>14</v>
      </c>
      <c r="C12" s="5">
        <v>0.699720995117415</v>
      </c>
      <c r="D12" s="6">
        <v>0.634146341463415</v>
      </c>
      <c r="E12" s="5">
        <v>0.287809444560017</v>
      </c>
      <c r="F12" s="6">
        <v>0.457317073170732</v>
      </c>
    </row>
    <row r="13" customHeight="1" spans="1:6">
      <c r="A13" s="3">
        <v>9</v>
      </c>
      <c r="B13" s="4" t="s">
        <v>15</v>
      </c>
      <c r="C13" s="5">
        <v>0.782893555914558</v>
      </c>
      <c r="D13" s="6">
        <v>0.768292682926829</v>
      </c>
      <c r="E13" s="5">
        <v>0.357875787578758</v>
      </c>
      <c r="F13" s="6">
        <v>0.560975609756098</v>
      </c>
    </row>
    <row r="14" customHeight="1" spans="1:6">
      <c r="A14" s="3">
        <v>10</v>
      </c>
      <c r="B14" s="4" t="s">
        <v>16</v>
      </c>
      <c r="C14" s="5">
        <v>0.846660730186999</v>
      </c>
      <c r="D14" s="6">
        <v>0.817073170731707</v>
      </c>
      <c r="E14" s="5">
        <v>0.30745872081989</v>
      </c>
      <c r="F14" s="6">
        <v>0.609756097560976</v>
      </c>
    </row>
    <row r="15" customHeight="1" spans="1:6">
      <c r="A15" s="3">
        <v>11</v>
      </c>
      <c r="B15" s="4" t="s">
        <v>17</v>
      </c>
      <c r="C15" s="5">
        <v>0.667861037544789</v>
      </c>
      <c r="D15" s="6">
        <v>0.634146341463415</v>
      </c>
      <c r="E15" s="5">
        <v>0.163232465952353</v>
      </c>
      <c r="F15" s="6">
        <v>0.347560975609756</v>
      </c>
    </row>
    <row r="16" customHeight="1" spans="1:6">
      <c r="A16" s="3">
        <v>12</v>
      </c>
      <c r="B16" s="4" t="s">
        <v>18</v>
      </c>
      <c r="C16" s="5">
        <v>0.546910239061795</v>
      </c>
      <c r="D16" s="6">
        <v>0.530487804878049</v>
      </c>
      <c r="E16" s="5">
        <v>0.185997910135841</v>
      </c>
      <c r="F16" s="6">
        <v>0.353658536585366</v>
      </c>
    </row>
    <row r="17" customHeight="1" spans="1:6">
      <c r="A17" s="3">
        <v>13</v>
      </c>
      <c r="B17" s="4" t="s">
        <v>19</v>
      </c>
      <c r="C17" s="5">
        <v>0.641382277028965</v>
      </c>
      <c r="D17" s="6">
        <v>0.719512195121951</v>
      </c>
      <c r="E17" s="5">
        <v>0.424659400544959</v>
      </c>
      <c r="F17" s="6">
        <v>0.664634146341463</v>
      </c>
    </row>
    <row r="18" customHeight="1" spans="1:6">
      <c r="A18" s="3">
        <v>14</v>
      </c>
      <c r="B18" s="4" t="s">
        <v>20</v>
      </c>
      <c r="C18" s="5">
        <v>0.6673042369443</v>
      </c>
      <c r="D18" s="6">
        <v>0.646341463414634</v>
      </c>
      <c r="E18" s="5">
        <v>0.311432624113475</v>
      </c>
      <c r="F18" s="6">
        <v>0.463414634146341</v>
      </c>
    </row>
    <row r="19" customHeight="1" spans="1:6">
      <c r="A19" s="3">
        <v>15</v>
      </c>
      <c r="B19" s="4" t="s">
        <v>21</v>
      </c>
      <c r="C19" s="5">
        <v>0.701148277583625</v>
      </c>
      <c r="D19" s="6">
        <v>0.701219512195122</v>
      </c>
      <c r="E19" s="5">
        <v>0.406415998333507</v>
      </c>
      <c r="F19" s="6">
        <v>0.609756097560976</v>
      </c>
    </row>
    <row r="20" customHeight="1" spans="1:6">
      <c r="A20" s="3">
        <v>16</v>
      </c>
      <c r="B20" s="4" t="s">
        <v>22</v>
      </c>
      <c r="C20" s="5">
        <v>0.579203815052872</v>
      </c>
      <c r="D20" s="6">
        <v>0.560975609756098</v>
      </c>
      <c r="E20" s="5">
        <v>0.134283336800499</v>
      </c>
      <c r="F20" s="6">
        <v>0.402439024390244</v>
      </c>
    </row>
    <row r="21" customHeight="1" spans="1:6">
      <c r="A21" s="3">
        <v>17</v>
      </c>
      <c r="B21" s="4" t="s">
        <v>23</v>
      </c>
      <c r="C21" s="5">
        <v>0.701456310679612</v>
      </c>
      <c r="D21" s="6">
        <v>0.689024390243902</v>
      </c>
      <c r="E21" s="5">
        <v>0.31709083385061</v>
      </c>
      <c r="F21" s="6">
        <v>0.567073170731707</v>
      </c>
    </row>
    <row r="22" customHeight="1" spans="1:6">
      <c r="A22" s="3">
        <v>18</v>
      </c>
      <c r="B22" s="4" t="s">
        <v>24</v>
      </c>
      <c r="C22" s="5">
        <v>0.431840848249436</v>
      </c>
      <c r="D22" s="6">
        <v>0.597560975609756</v>
      </c>
      <c r="E22" s="5">
        <v>0.111138176724925</v>
      </c>
      <c r="F22" s="6">
        <v>0.536585365853659</v>
      </c>
    </row>
    <row r="23" customHeight="1" spans="1:6">
      <c r="A23" s="3">
        <v>19</v>
      </c>
      <c r="B23" s="4" t="s">
        <v>25</v>
      </c>
      <c r="C23" s="5">
        <v>0.604667725853284</v>
      </c>
      <c r="D23" s="6">
        <v>0.646341463414634</v>
      </c>
      <c r="E23" s="5">
        <v>0.3595941169764</v>
      </c>
      <c r="F23" s="6">
        <v>0.567073170731707</v>
      </c>
    </row>
    <row r="24" customHeight="1" spans="1:6">
      <c r="A24" s="3">
        <v>20</v>
      </c>
      <c r="B24" s="4" t="s">
        <v>26</v>
      </c>
      <c r="C24" s="5">
        <v>0.570425577878591</v>
      </c>
      <c r="D24" s="6">
        <v>0.573170731707317</v>
      </c>
      <c r="E24" s="5">
        <v>0.254431220309547</v>
      </c>
      <c r="F24" s="6">
        <v>0.408536585365854</v>
      </c>
    </row>
    <row r="25" customHeight="1" spans="1:6">
      <c r="A25" s="3">
        <v>21</v>
      </c>
      <c r="B25" s="4" t="s">
        <v>27</v>
      </c>
      <c r="C25" s="5">
        <v>0.725956182695878</v>
      </c>
      <c r="D25" s="6">
        <v>0.725609756097561</v>
      </c>
      <c r="E25" s="5">
        <v>0.401574803149606</v>
      </c>
      <c r="F25" s="6">
        <v>0.603658536585366</v>
      </c>
    </row>
    <row r="26" customHeight="1" spans="1:6">
      <c r="A26" s="3">
        <v>22</v>
      </c>
      <c r="B26" s="4" t="s">
        <v>28</v>
      </c>
      <c r="C26" s="5">
        <v>0.672692237107726</v>
      </c>
      <c r="D26" s="6">
        <v>0.652439024390244</v>
      </c>
      <c r="E26" s="5">
        <v>0.253961344245168</v>
      </c>
      <c r="F26" s="6">
        <v>0.457317073170732</v>
      </c>
    </row>
    <row r="27" customHeight="1" spans="1:6">
      <c r="A27" s="3">
        <v>23</v>
      </c>
      <c r="B27" s="4" t="s">
        <v>29</v>
      </c>
      <c r="C27" s="5">
        <v>0.124596697665591</v>
      </c>
      <c r="D27" s="6">
        <v>0.524390243902439</v>
      </c>
      <c r="E27" s="5">
        <v>0.0947368421052631</v>
      </c>
      <c r="F27" s="6">
        <v>0.628048780487805</v>
      </c>
    </row>
    <row r="28" customHeight="1" spans="1:6">
      <c r="A28" s="3">
        <v>24</v>
      </c>
      <c r="B28" s="4" t="s">
        <v>30</v>
      </c>
      <c r="C28" s="5">
        <v>0.434559221200649</v>
      </c>
      <c r="D28" s="6">
        <v>0.597560975609756</v>
      </c>
      <c r="E28" s="5">
        <v>0.0444423476127571</v>
      </c>
      <c r="F28" s="6">
        <v>0.426829268292683</v>
      </c>
    </row>
    <row r="29" customHeight="1" spans="1:6">
      <c r="A29" s="3">
        <v>25</v>
      </c>
      <c r="B29" s="4" t="s">
        <v>31</v>
      </c>
      <c r="C29" s="5">
        <v>0.684089962515618</v>
      </c>
      <c r="D29" s="6">
        <v>0.75</v>
      </c>
      <c r="E29" s="5">
        <v>0.345810336176618</v>
      </c>
      <c r="F29" s="6">
        <v>0.670731707317073</v>
      </c>
    </row>
    <row r="30" customHeight="1" spans="1:6">
      <c r="A30" s="3">
        <v>26</v>
      </c>
      <c r="B30" s="4" t="s">
        <v>32</v>
      </c>
      <c r="C30" s="5">
        <v>0.588245363766049</v>
      </c>
      <c r="D30" s="6">
        <v>0.664634146341463</v>
      </c>
      <c r="E30" s="5">
        <v>0.200756473668897</v>
      </c>
      <c r="F30" s="6">
        <v>0.524390243902439</v>
      </c>
    </row>
    <row r="31" customHeight="1" spans="1:6">
      <c r="A31" s="3">
        <v>27</v>
      </c>
      <c r="B31" s="4" t="s">
        <v>33</v>
      </c>
      <c r="C31" s="5">
        <v>0.810697795975259</v>
      </c>
      <c r="D31" s="6">
        <v>0.804878048780488</v>
      </c>
      <c r="E31" s="5">
        <v>0.374970069438902</v>
      </c>
      <c r="F31" s="6">
        <v>0.621951219512195</v>
      </c>
    </row>
    <row r="32" customHeight="1" spans="1:6">
      <c r="A32" s="3">
        <v>28</v>
      </c>
      <c r="B32" s="4" t="s">
        <v>34</v>
      </c>
      <c r="C32" s="5">
        <v>0.858576356224522</v>
      </c>
      <c r="D32" s="6">
        <v>0.878048780487805</v>
      </c>
      <c r="E32" s="5">
        <v>0.515574650912997</v>
      </c>
      <c r="F32" s="6">
        <v>0.701219512195122</v>
      </c>
    </row>
    <row r="33" customHeight="1" spans="1:6">
      <c r="A33" s="3">
        <v>29</v>
      </c>
      <c r="B33" s="4" t="s">
        <v>35</v>
      </c>
      <c r="C33" s="5">
        <v>0.573076923076923</v>
      </c>
      <c r="D33" s="6">
        <v>0.707317073170732</v>
      </c>
      <c r="E33" s="5">
        <v>0.308094384707288</v>
      </c>
      <c r="F33" s="6">
        <v>0.554878048780488</v>
      </c>
    </row>
    <row r="34" customHeight="1" spans="1:6">
      <c r="A34" s="3">
        <v>30</v>
      </c>
      <c r="B34" s="4" t="s">
        <v>36</v>
      </c>
      <c r="C34" s="5">
        <v>0.579984239558708</v>
      </c>
      <c r="D34" s="6">
        <v>0.585365853658537</v>
      </c>
      <c r="E34" s="5">
        <v>0.367902274641954</v>
      </c>
      <c r="F34" s="6">
        <v>0.48780487804878</v>
      </c>
    </row>
    <row r="35" customHeight="1" spans="1:6">
      <c r="A35" s="7"/>
      <c r="B35" s="8" t="s">
        <v>37</v>
      </c>
      <c r="C35" s="9">
        <f>AVERAGE(C5,C6,C7,C8,C9,C10)</f>
        <v>0.714728421418436</v>
      </c>
      <c r="D35" s="10">
        <f>AVERAGE(D5,D6,D7,D8,D9,D10)</f>
        <v>0.687708863284952</v>
      </c>
      <c r="E35" s="9">
        <f>AVERAGE(E5,E6,E7,E8,E9,E10)</f>
        <v>0.252717976968913</v>
      </c>
      <c r="F35" s="10">
        <f>AVERAGE(F5,F6,F7,F8,F9,F10)</f>
        <v>0.487243752805626</v>
      </c>
    </row>
    <row r="36" customHeight="1" spans="1:6">
      <c r="A36" s="7"/>
      <c r="B36" s="8" t="s">
        <v>38</v>
      </c>
      <c r="C36" s="9">
        <f>AVERAGE(C11,C12,C13,C14,C15,C16)</f>
        <v>0.712507850762069</v>
      </c>
      <c r="D36" s="10">
        <f>AVERAGE(D11,D12,D13,D14,D15,D16)</f>
        <v>0.681910569105691</v>
      </c>
      <c r="E36" s="9">
        <f>AVERAGE(E11,E12,E13,E14,E15,E16)</f>
        <v>0.270191430060856</v>
      </c>
      <c r="F36" s="10">
        <f>AVERAGE(F11,F12,F13,F14,F15,F16)</f>
        <v>0.485772357723577</v>
      </c>
    </row>
    <row r="37" customHeight="1" spans="1:6">
      <c r="A37" s="7"/>
      <c r="B37" s="8" t="s">
        <v>39</v>
      </c>
      <c r="C37" s="9">
        <f>AVERAGE(C17,C18,C19,C20,C21,C22)</f>
        <v>0.620389294256468</v>
      </c>
      <c r="D37" s="10">
        <f>AVERAGE(D17,D18,D19,D20,D21,D22)</f>
        <v>0.652439024390244</v>
      </c>
      <c r="E37" s="9">
        <f>AVERAGE(E17,E18,E19,E20,E21,E22)</f>
        <v>0.284170061727996</v>
      </c>
      <c r="F37" s="10">
        <f>AVERAGE(F17,F18,F19,F20,F21,F22)</f>
        <v>0.540650406504065</v>
      </c>
    </row>
    <row r="38" customHeight="1" spans="1:6">
      <c r="A38" s="7"/>
      <c r="B38" s="8" t="s">
        <v>40</v>
      </c>
      <c r="C38" s="9">
        <f>AVERAGE(C23,C24,C25,C26,C27,C28)</f>
        <v>0.522149607066953</v>
      </c>
      <c r="D38" s="10">
        <f>AVERAGE(D23,D24,D25,D26,D27,D28)</f>
        <v>0.619918699186992</v>
      </c>
      <c r="E38" s="9">
        <f>AVERAGE(E23,E24,E25,E26,E27,E28)</f>
        <v>0.23479011239979</v>
      </c>
      <c r="F38" s="10">
        <f>AVERAGE(F23,F24,F25,F26,F27,F28)</f>
        <v>0.515243902439024</v>
      </c>
    </row>
    <row r="39" customHeight="1" spans="1:6">
      <c r="A39" s="7"/>
      <c r="B39" s="8" t="s">
        <v>41</v>
      </c>
      <c r="C39" s="9">
        <f>AVERAGE(C29,C30,C31,C32,C33,C34)</f>
        <v>0.682445106852846</v>
      </c>
      <c r="D39" s="10">
        <f>AVERAGE(D29,D30,D31,D32,D33,D34)</f>
        <v>0.731707317073171</v>
      </c>
      <c r="E39" s="9">
        <f>AVERAGE(E29,E30,E31,E32,E33,E34)</f>
        <v>0.352184698257776</v>
      </c>
      <c r="F39" s="10">
        <f>AVERAGE(F29,F30,F31,F32,F33,F34)</f>
        <v>0.59349593495935</v>
      </c>
    </row>
    <row r="40" customHeight="1" spans="1:6">
      <c r="A40" s="7"/>
      <c r="B40" s="8" t="s">
        <v>42</v>
      </c>
      <c r="C40" s="9">
        <f>AVERAGE(C5,C6,C11,C12,C17,C18,C23,C24,C29,C30)</f>
        <v>0.665621553294912</v>
      </c>
      <c r="D40" s="10">
        <f>AVERAGE(D5,D6,D11,D12,D17,D18,D23,D24,D29,D30)</f>
        <v>0.670731707317073</v>
      </c>
      <c r="E40" s="9">
        <f>AVERAGE(E5,E6,E11,E12,E17,E18,E23,E24,E29,E30)</f>
        <v>0.313143238676467</v>
      </c>
      <c r="F40" s="10">
        <f>AVERAGE(F5,F6,F11,F12,F17,F18,F23,F24,F29,F30)</f>
        <v>0.542682926829268</v>
      </c>
    </row>
    <row r="41" customHeight="1" spans="1:6">
      <c r="A41" s="7"/>
      <c r="B41" s="8" t="s">
        <v>43</v>
      </c>
      <c r="C41" s="9">
        <f>AVERAGE(C7,C8,C13,C14,C19,C20,C25,C26,C31,C32)</f>
        <v>0.753956652887687</v>
      </c>
      <c r="D41" s="10">
        <f>AVERAGE(D7,D8,D13,D14,D19,D20,D25,D26,D31,D32)</f>
        <v>0.73780487804878</v>
      </c>
      <c r="E41" s="9">
        <f>AVERAGE(E7,E8,E13,E14,E19,E20,E25,E26,E31,E32)</f>
        <v>0.333922374531975</v>
      </c>
      <c r="F41" s="10">
        <f>AVERAGE(F7,F8,F13,F14,F19,F20,F25,F26,F31,F32)</f>
        <v>0.564024390243902</v>
      </c>
    </row>
    <row r="42" customHeight="1" spans="1:6">
      <c r="A42" s="7"/>
      <c r="B42" s="8" t="s">
        <v>44</v>
      </c>
      <c r="C42" s="9">
        <f>AVERAGE(C9,C10,C15,C16,C21,C22,C27,C28,C33,C34)</f>
        <v>0.531753962031465</v>
      </c>
      <c r="D42" s="10">
        <f>AVERAGE(D9,D10,D15,D16,D21,D22,D27,D28,D33,D34)</f>
        <v>0.615674098458776</v>
      </c>
      <c r="E42" s="9">
        <f>AVERAGE(E9,E10,E15,E16,E21,E22,E27,E28,E33,E34)</f>
        <v>0.189366954440757</v>
      </c>
      <c r="F42" s="10">
        <f>AVERAGE(F9,F10,F15,F16,F21,F22,F27,F28,F33,F34)</f>
        <v>0.466736495585815</v>
      </c>
    </row>
    <row r="43" customHeight="1" spans="1:6">
      <c r="A43" s="11"/>
      <c r="B43" s="12" t="s">
        <v>45</v>
      </c>
      <c r="C43" s="13">
        <f>AVERAGE(C5,C6,C7,C8,C9,C10,C11,C12,C13,C14,C15,C16,C17,C18,C19,C20,C21,C22,C23,C24,C25,C26,C27,C28,C29,C30,C31,C32,C33,C34)</f>
        <v>0.650444056071354</v>
      </c>
      <c r="D43" s="14">
        <f>AVERAGE(D5,D6,D7,D8,D9,D10,D11,D12,D13,D14,D15,D16,D17,D18,D19,D20,D21,D22,D23,D24,D25,D26,D27,D28,D29,D30,D31,D32,D33,D34)</f>
        <v>0.67473689460821</v>
      </c>
      <c r="E43" s="13">
        <f>AVERAGE(E5,E6,E7,E8,E9,E10,E11,E12,E13,E14,E15,E16,E17,E18,E19,E20,E21,E22,E23,E24,E25,E26,E27,E28,E29,E30,E31,E32,E33,E34)</f>
        <v>0.278810855883066</v>
      </c>
      <c r="F43" s="14">
        <f>AVERAGE(F5,F6,F7,F8,F9,F10,F11,F12,F13,F14,F15,F16,F17,F18,F19,F20,F21,F22,F23,F24,F25,F26,F27,F28,F29,F30,F31,F32,F33,F34)</f>
        <v>0.524481270886329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F43"/>
  <sheetViews>
    <sheetView showGridLines="0" zoomScale="70" zoomScaleNormal="70" workbookViewId="0">
      <pane ySplit="4" topLeftCell="A5" activePane="bottomLeft" state="frozen"/>
      <selection/>
      <selection pane="bottomLeft" activeCell="D47" sqref="D47"/>
    </sheetView>
  </sheetViews>
  <sheetFormatPr defaultColWidth="9" defaultRowHeight="13" customHeight="1" outlineLevelCol="5"/>
  <cols>
    <col min="1" max="1" width="6" customWidth="1"/>
    <col min="2" max="2" width="70" customWidth="1"/>
    <col min="3" max="6" width="20" customWidth="1"/>
  </cols>
  <sheetData>
    <row r="2" customHeight="1" spans="1:6">
      <c r="A2" s="1" t="s">
        <v>51</v>
      </c>
    </row>
    <row r="4" customHeight="1" spans="1:6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</row>
    <row r="5" customHeight="1" spans="1:6">
      <c r="A5" s="3">
        <v>1</v>
      </c>
      <c r="B5" s="4" t="s">
        <v>7</v>
      </c>
      <c r="C5" s="5">
        <v>0.745369162535873</v>
      </c>
      <c r="D5" s="6">
        <v>0.729508196721312</v>
      </c>
      <c r="E5" s="5">
        <v>0.201890936873269</v>
      </c>
      <c r="F5" s="6">
        <v>0.540983606557377</v>
      </c>
    </row>
    <row r="6" customHeight="1" spans="1:6">
      <c r="A6" s="3">
        <v>2</v>
      </c>
      <c r="B6" s="4" t="s">
        <v>8</v>
      </c>
      <c r="C6" s="5">
        <v>0.749031356101458</v>
      </c>
      <c r="D6" s="6">
        <v>0.725409836065574</v>
      </c>
      <c r="E6" s="5">
        <v>0.295745690336865</v>
      </c>
      <c r="F6" s="6">
        <v>0.491803278688525</v>
      </c>
    </row>
    <row r="7" customHeight="1" spans="1:6">
      <c r="A7" s="3">
        <v>3</v>
      </c>
      <c r="B7" s="4" t="s">
        <v>9</v>
      </c>
      <c r="C7" s="5">
        <v>0.756281407035176</v>
      </c>
      <c r="D7" s="6">
        <v>0.737704918032787</v>
      </c>
      <c r="E7" s="5">
        <v>0.281427343078246</v>
      </c>
      <c r="F7" s="6">
        <v>0.55327868852459</v>
      </c>
    </row>
    <row r="8" customHeight="1" spans="1:6">
      <c r="A8" s="3">
        <v>4</v>
      </c>
      <c r="B8" s="4" t="s">
        <v>10</v>
      </c>
      <c r="C8" s="5">
        <v>0.723204506337036</v>
      </c>
      <c r="D8" s="6">
        <v>0.709016393442623</v>
      </c>
      <c r="E8" s="5">
        <v>0.318240768996033</v>
      </c>
      <c r="F8" s="6">
        <v>0.512295081967213</v>
      </c>
    </row>
    <row r="9" customHeight="1" spans="1:6">
      <c r="A9" s="3">
        <v>5</v>
      </c>
      <c r="B9" s="4" t="s">
        <v>11</v>
      </c>
      <c r="C9" s="5">
        <v>0.671416564792176</v>
      </c>
      <c r="D9" s="6">
        <v>0.655737704918033</v>
      </c>
      <c r="E9" s="5">
        <v>0.266006770680012</v>
      </c>
      <c r="F9" s="6">
        <v>0.471311475409836</v>
      </c>
    </row>
    <row r="10" customHeight="1" spans="1:6">
      <c r="A10" s="3">
        <v>6</v>
      </c>
      <c r="B10" s="4" t="s">
        <v>12</v>
      </c>
      <c r="C10" s="5">
        <v>0.547163296575239</v>
      </c>
      <c r="D10" s="6">
        <v>0.602459016393443</v>
      </c>
      <c r="E10" s="5">
        <v>0.152823501897926</v>
      </c>
      <c r="F10" s="6">
        <v>0.352459016393443</v>
      </c>
    </row>
    <row r="11" customHeight="1" spans="1:6">
      <c r="A11" s="3">
        <v>7</v>
      </c>
      <c r="B11" s="4" t="s">
        <v>13</v>
      </c>
      <c r="C11" s="5">
        <v>0.752145726807889</v>
      </c>
      <c r="D11" s="6">
        <v>0.758196721311475</v>
      </c>
      <c r="E11" s="5">
        <v>0.26170420287285</v>
      </c>
      <c r="F11" s="6">
        <v>0.532786885245902</v>
      </c>
    </row>
    <row r="12" customHeight="1" spans="1:6">
      <c r="A12" s="3">
        <v>8</v>
      </c>
      <c r="B12" s="4" t="s">
        <v>14</v>
      </c>
      <c r="C12" s="5">
        <v>0.681243124312431</v>
      </c>
      <c r="D12" s="6">
        <v>0.668032786885246</v>
      </c>
      <c r="E12" s="5">
        <v>0.197977243994943</v>
      </c>
      <c r="F12" s="6">
        <v>0.459016393442623</v>
      </c>
    </row>
    <row r="13" customHeight="1" spans="1:6">
      <c r="A13" s="3">
        <v>9</v>
      </c>
      <c r="B13" s="4" t="s">
        <v>15</v>
      </c>
      <c r="C13" s="5">
        <v>0.782482170669727</v>
      </c>
      <c r="D13" s="6">
        <v>0.754098360655738</v>
      </c>
      <c r="E13" s="5">
        <v>0.315492048114959</v>
      </c>
      <c r="F13" s="6">
        <v>0.536885245901639</v>
      </c>
    </row>
    <row r="14" customHeight="1" spans="1:6">
      <c r="A14" s="3">
        <v>10</v>
      </c>
      <c r="B14" s="4" t="s">
        <v>16</v>
      </c>
      <c r="C14" s="5">
        <v>0.797697780691437</v>
      </c>
      <c r="D14" s="6">
        <v>0.819672131147541</v>
      </c>
      <c r="E14" s="5">
        <v>0.245889177835567</v>
      </c>
      <c r="F14" s="6">
        <v>0.569672131147541</v>
      </c>
    </row>
    <row r="15" customHeight="1" spans="1:6">
      <c r="A15" s="3">
        <v>11</v>
      </c>
      <c r="B15" s="4" t="s">
        <v>17</v>
      </c>
      <c r="C15" s="5">
        <v>0.689903633630979</v>
      </c>
      <c r="D15" s="6">
        <v>0.639344262295082</v>
      </c>
      <c r="E15" s="5">
        <v>0.217112299465241</v>
      </c>
      <c r="F15" s="6">
        <v>0.385245901639344</v>
      </c>
    </row>
    <row r="16" customHeight="1" spans="1:6">
      <c r="A16" s="3">
        <v>12</v>
      </c>
      <c r="B16" s="4" t="s">
        <v>18</v>
      </c>
      <c r="C16" s="5">
        <v>0.557398289712361</v>
      </c>
      <c r="D16" s="6">
        <v>0.565573770491803</v>
      </c>
      <c r="E16" s="5">
        <v>0.174520451957607</v>
      </c>
      <c r="F16" s="6">
        <v>0.385245901639344</v>
      </c>
    </row>
    <row r="17" customHeight="1" spans="1:6">
      <c r="A17" s="3">
        <v>13</v>
      </c>
      <c r="B17" s="4" t="s">
        <v>19</v>
      </c>
      <c r="C17" s="5">
        <v>0.657187459346949</v>
      </c>
      <c r="D17" s="6">
        <v>0.668032786885246</v>
      </c>
      <c r="E17" s="5">
        <v>0.220743669682914</v>
      </c>
      <c r="F17" s="6">
        <v>0.520491803278688</v>
      </c>
    </row>
    <row r="18" customHeight="1" spans="1:6">
      <c r="A18" s="3">
        <v>14</v>
      </c>
      <c r="B18" s="4" t="s">
        <v>20</v>
      </c>
      <c r="C18" s="5">
        <v>0.668883563988459</v>
      </c>
      <c r="D18" s="6">
        <v>0.655737704918033</v>
      </c>
      <c r="E18" s="5">
        <v>0.250628468434284</v>
      </c>
      <c r="F18" s="6">
        <v>0.479508196721311</v>
      </c>
    </row>
    <row r="19" customHeight="1" spans="1:6">
      <c r="A19" s="3">
        <v>15</v>
      </c>
      <c r="B19" s="4" t="s">
        <v>21</v>
      </c>
      <c r="C19" s="5">
        <v>0.745940260832983</v>
      </c>
      <c r="D19" s="6">
        <v>0.741803278688525</v>
      </c>
      <c r="E19" s="5">
        <v>0.225353982300885</v>
      </c>
      <c r="F19" s="6">
        <v>0.512295081967213</v>
      </c>
    </row>
    <row r="20" customHeight="1" spans="1:6">
      <c r="A20" s="3">
        <v>16</v>
      </c>
      <c r="B20" s="4" t="s">
        <v>22</v>
      </c>
      <c r="C20" s="5">
        <v>0.519444026293341</v>
      </c>
      <c r="D20" s="6">
        <v>0.528688524590164</v>
      </c>
      <c r="E20" s="5">
        <v>0.222451892317535</v>
      </c>
      <c r="F20" s="6">
        <v>0.405737704918033</v>
      </c>
    </row>
    <row r="21" customHeight="1" spans="1:6">
      <c r="A21" s="3">
        <v>17</v>
      </c>
      <c r="B21" s="4" t="s">
        <v>23</v>
      </c>
      <c r="C21" s="5">
        <v>0.668478260869565</v>
      </c>
      <c r="D21" s="6">
        <v>0.64344262295082</v>
      </c>
      <c r="E21" s="5">
        <v>0.102106420776584</v>
      </c>
      <c r="F21" s="6">
        <v>0.409836065573771</v>
      </c>
    </row>
    <row r="22" customHeight="1" spans="1:6">
      <c r="A22" s="3">
        <v>18</v>
      </c>
      <c r="B22" s="4" t="s">
        <v>24</v>
      </c>
      <c r="C22" s="5">
        <v>0.200081113965121</v>
      </c>
      <c r="D22" s="6">
        <v>0.520491803278688</v>
      </c>
      <c r="E22" s="5">
        <v>0.0776034236804565</v>
      </c>
      <c r="F22" s="6">
        <v>0.471311475409836</v>
      </c>
    </row>
    <row r="23" customHeight="1" spans="1:6">
      <c r="A23" s="3">
        <v>19</v>
      </c>
      <c r="B23" s="4" t="s">
        <v>25</v>
      </c>
      <c r="C23" s="5">
        <v>0.588362013029147</v>
      </c>
      <c r="D23" s="6">
        <v>0.614754098360656</v>
      </c>
      <c r="E23" s="5">
        <v>0.296550060313631</v>
      </c>
      <c r="F23" s="6">
        <v>0.450819672131148</v>
      </c>
    </row>
    <row r="24" customHeight="1" spans="1:6">
      <c r="A24" s="3">
        <v>20</v>
      </c>
      <c r="B24" s="4" t="s">
        <v>26</v>
      </c>
      <c r="C24" s="5">
        <v>0.608491014547875</v>
      </c>
      <c r="D24" s="6">
        <v>0.594262295081967</v>
      </c>
      <c r="E24" s="5">
        <v>0.189652158713512</v>
      </c>
      <c r="F24" s="6">
        <v>0.39344262295082</v>
      </c>
    </row>
    <row r="25" customHeight="1" spans="1:6">
      <c r="A25" s="3">
        <v>21</v>
      </c>
      <c r="B25" s="4" t="s">
        <v>27</v>
      </c>
      <c r="C25" s="5">
        <v>0.718285107078633</v>
      </c>
      <c r="D25" s="6">
        <v>0.709016393442623</v>
      </c>
      <c r="E25" s="5">
        <v>0.300412541254125</v>
      </c>
      <c r="F25" s="6">
        <v>0.512295081967213</v>
      </c>
    </row>
    <row r="26" customHeight="1" spans="1:6">
      <c r="A26" s="3">
        <v>22</v>
      </c>
      <c r="B26" s="4" t="s">
        <v>28</v>
      </c>
      <c r="C26" s="5">
        <v>0.700204118031747</v>
      </c>
      <c r="D26" s="6">
        <v>0.676229508196721</v>
      </c>
      <c r="E26" s="5">
        <v>0.29494913996759</v>
      </c>
      <c r="F26" s="6">
        <v>0.487704918032787</v>
      </c>
    </row>
    <row r="27" customHeight="1" spans="1:6">
      <c r="A27" s="3">
        <v>23</v>
      </c>
      <c r="B27" s="4" t="s">
        <v>29</v>
      </c>
      <c r="C27" s="5">
        <v>0.203311904955651</v>
      </c>
      <c r="D27" s="6">
        <v>0.532786885245902</v>
      </c>
      <c r="E27" s="5">
        <v>0.134957647282764</v>
      </c>
      <c r="F27" s="6">
        <v>0.577868852459016</v>
      </c>
    </row>
    <row r="28" customHeight="1" spans="1:6">
      <c r="A28" s="3">
        <v>24</v>
      </c>
      <c r="B28" s="4" t="s">
        <v>30</v>
      </c>
      <c r="C28" s="5">
        <v>0.443001501562437</v>
      </c>
      <c r="D28" s="6">
        <v>0.581967213114754</v>
      </c>
      <c r="E28" s="5">
        <v>0.225904169310437</v>
      </c>
      <c r="F28" s="6">
        <v>0.504098360655738</v>
      </c>
    </row>
    <row r="29" customHeight="1" spans="1:6">
      <c r="A29" s="3">
        <v>25</v>
      </c>
      <c r="B29" s="4" t="s">
        <v>31</v>
      </c>
      <c r="C29" s="5">
        <v>0.771300550945294</v>
      </c>
      <c r="D29" s="6">
        <v>0.774590163934426</v>
      </c>
      <c r="E29" s="5">
        <v>0.288799000654334</v>
      </c>
      <c r="F29" s="6">
        <v>0.581967213114754</v>
      </c>
    </row>
    <row r="30" customHeight="1" spans="1:6">
      <c r="A30" s="3">
        <v>26</v>
      </c>
      <c r="B30" s="4" t="s">
        <v>32</v>
      </c>
      <c r="C30" s="5">
        <v>0.677338530066815</v>
      </c>
      <c r="D30" s="6">
        <v>0.754098360655738</v>
      </c>
      <c r="E30" s="5">
        <v>0.243187356916033</v>
      </c>
      <c r="F30" s="6">
        <v>0.520491803278688</v>
      </c>
    </row>
    <row r="31" customHeight="1" spans="1:6">
      <c r="A31" s="3">
        <v>27</v>
      </c>
      <c r="B31" s="4" t="s">
        <v>33</v>
      </c>
      <c r="C31" s="5">
        <v>0.819854611540209</v>
      </c>
      <c r="D31" s="6">
        <v>0.840163934426229</v>
      </c>
      <c r="E31" s="5">
        <v>0.346858865518556</v>
      </c>
      <c r="F31" s="6">
        <v>0.618852459016393</v>
      </c>
    </row>
    <row r="32" customHeight="1" spans="1:6">
      <c r="A32" s="3">
        <v>28</v>
      </c>
      <c r="B32" s="4" t="s">
        <v>34</v>
      </c>
      <c r="C32" s="5">
        <v>0.862120115135355</v>
      </c>
      <c r="D32" s="6">
        <v>0.897540983606557</v>
      </c>
      <c r="E32" s="5">
        <v>0.419517917031506</v>
      </c>
      <c r="F32" s="6">
        <v>0.668032786885246</v>
      </c>
    </row>
    <row r="33" customHeight="1" spans="1:6">
      <c r="A33" s="3">
        <v>29</v>
      </c>
      <c r="B33" s="4" t="s">
        <v>35</v>
      </c>
      <c r="C33" s="5">
        <v>0.691416449086162</v>
      </c>
      <c r="D33" s="6">
        <v>0.774590163934426</v>
      </c>
      <c r="E33" s="5">
        <v>0.312774489211381</v>
      </c>
      <c r="F33" s="6">
        <v>0.557377049180328</v>
      </c>
    </row>
    <row r="34" customHeight="1" spans="1:6">
      <c r="A34" s="3">
        <v>30</v>
      </c>
      <c r="B34" s="4" t="s">
        <v>36</v>
      </c>
      <c r="C34" s="5">
        <v>0.395681625740897</v>
      </c>
      <c r="D34" s="6">
        <v>0.569672131147541</v>
      </c>
      <c r="E34" s="5">
        <v>0.203234975636167</v>
      </c>
      <c r="F34" s="6">
        <v>0.426229508196721</v>
      </c>
    </row>
    <row r="35" customHeight="1" spans="1:6">
      <c r="A35" s="7"/>
      <c r="B35" s="8" t="s">
        <v>37</v>
      </c>
      <c r="C35" s="9">
        <f>AVERAGE(C5,C6,C7,C8,C9,C10)</f>
        <v>0.698744382229493</v>
      </c>
      <c r="D35" s="10">
        <f>AVERAGE(D5,D6,D7,D8,D9,D10)</f>
        <v>0.693306010928962</v>
      </c>
      <c r="E35" s="9">
        <f>AVERAGE(E5,E6,E7,E8,E9,E10)</f>
        <v>0.252689168643725</v>
      </c>
      <c r="F35" s="10">
        <f>AVERAGE(F5,F6,F7,F8,F9,F10)</f>
        <v>0.487021857923497</v>
      </c>
    </row>
    <row r="36" customHeight="1" spans="1:6">
      <c r="A36" s="7"/>
      <c r="B36" s="8" t="s">
        <v>38</v>
      </c>
      <c r="C36" s="9">
        <f>AVERAGE(C11,C12,C13,C14,C15,C16)</f>
        <v>0.710145120970804</v>
      </c>
      <c r="D36" s="10">
        <f>AVERAGE(D11,D12,D13,D14,D15,D16)</f>
        <v>0.700819672131148</v>
      </c>
      <c r="E36" s="9">
        <f>AVERAGE(E11,E12,E13,E14,E15,E16)</f>
        <v>0.235449237373528</v>
      </c>
      <c r="F36" s="10">
        <f>AVERAGE(F11,F12,F13,F14,F15,F16)</f>
        <v>0.478142076502732</v>
      </c>
    </row>
    <row r="37" customHeight="1" spans="1:6">
      <c r="A37" s="7"/>
      <c r="B37" s="8" t="s">
        <v>39</v>
      </c>
      <c r="C37" s="9">
        <f>AVERAGE(C17,C18,C19,C20,C21,C22)</f>
        <v>0.57666911421607</v>
      </c>
      <c r="D37" s="10">
        <f>AVERAGE(D17,D18,D19,D20,D21,D22)</f>
        <v>0.626366120218579</v>
      </c>
      <c r="E37" s="9">
        <f>AVERAGE(E17,E18,E19,E20,E21,E22)</f>
        <v>0.183147976198776</v>
      </c>
      <c r="F37" s="10">
        <f>AVERAGE(F17,F18,F19,F20,F21,F22)</f>
        <v>0.466530054644809</v>
      </c>
    </row>
    <row r="38" customHeight="1" spans="1:6">
      <c r="A38" s="7"/>
      <c r="B38" s="8" t="s">
        <v>40</v>
      </c>
      <c r="C38" s="9">
        <f>AVERAGE(C23,C24,C25,C26,C27,C28)</f>
        <v>0.543609276534249</v>
      </c>
      <c r="D38" s="10">
        <f>AVERAGE(D23,D24,D25,D26,D27,D28)</f>
        <v>0.618169398907104</v>
      </c>
      <c r="E38" s="9">
        <f>AVERAGE(E23,E24,E25,E26,E27,E28)</f>
        <v>0.240404286140343</v>
      </c>
      <c r="F38" s="10">
        <f>AVERAGE(F23,F24,F25,F26,F27,F28)</f>
        <v>0.487704918032787</v>
      </c>
    </row>
    <row r="39" customHeight="1" spans="1:6">
      <c r="A39" s="7"/>
      <c r="B39" s="8" t="s">
        <v>41</v>
      </c>
      <c r="C39" s="9">
        <f>AVERAGE(C29,C30,C31,C32,C33,C34)</f>
        <v>0.702951980419122</v>
      </c>
      <c r="D39" s="10">
        <f>AVERAGE(D29,D30,D31,D32,D33,D34)</f>
        <v>0.76844262295082</v>
      </c>
      <c r="E39" s="9">
        <f>AVERAGE(E29,E30,E31,E32,E33,E34)</f>
        <v>0.302395434161329</v>
      </c>
      <c r="F39" s="10">
        <f>AVERAGE(F29,F30,F31,F32,F33,F34)</f>
        <v>0.562158469945355</v>
      </c>
    </row>
    <row r="40" customHeight="1" spans="1:6">
      <c r="A40" s="7"/>
      <c r="B40" s="8" t="s">
        <v>42</v>
      </c>
      <c r="C40" s="9">
        <f>AVERAGE(C5,C6,C11,C12,C17,C18,C23,C24,C29,C30)</f>
        <v>0.689935250168219</v>
      </c>
      <c r="D40" s="10">
        <f>AVERAGE(D5,D6,D11,D12,D17,D18,D23,D24,D29,D30)</f>
        <v>0.694262295081967</v>
      </c>
      <c r="E40" s="9">
        <f>AVERAGE(E5,E6,E11,E12,E17,E18,E23,E24,E29,E30)</f>
        <v>0.244687878879263</v>
      </c>
      <c r="F40" s="10">
        <f>AVERAGE(F5,F6,F11,F12,F17,F18,F23,F24,F29,F30)</f>
        <v>0.497131147540984</v>
      </c>
    </row>
    <row r="41" customHeight="1" spans="1:6">
      <c r="A41" s="7"/>
      <c r="B41" s="8" t="s">
        <v>43</v>
      </c>
      <c r="C41" s="9">
        <f>AVERAGE(C7,C8,C13,C14,C19,C20,C25,C26,C31,C32)</f>
        <v>0.742551410364565</v>
      </c>
      <c r="D41" s="10">
        <f>AVERAGE(D7,D8,D13,D14,D19,D20,D25,D26,D31,D32)</f>
        <v>0.741393442622951</v>
      </c>
      <c r="E41" s="9">
        <f>AVERAGE(E7,E8,E13,E14,E19,E20,E25,E26,E31,E32)</f>
        <v>0.2970593676415</v>
      </c>
      <c r="F41" s="10">
        <f>AVERAGE(F7,F8,F13,F14,F19,F20,F25,F26,F31,F32)</f>
        <v>0.537704918032787</v>
      </c>
    </row>
    <row r="42" customHeight="1" spans="1:6">
      <c r="A42" s="7"/>
      <c r="B42" s="8" t="s">
        <v>44</v>
      </c>
      <c r="C42" s="9">
        <f>AVERAGE(C9,C10,C15,C16,C21,C22,C27,C28,C33,C34)</f>
        <v>0.506785264089059</v>
      </c>
      <c r="D42" s="10">
        <f>AVERAGE(D9,D10,D15,D16,D21,D22,D27,D28,D33,D34)</f>
        <v>0.608606557377049</v>
      </c>
      <c r="E42" s="9">
        <f>AVERAGE(E9,E10,E15,E16,E21,E22,E27,E28,E33,E34)</f>
        <v>0.186704414989857</v>
      </c>
      <c r="F42" s="10">
        <f>AVERAGE(F9,F10,F15,F16,F21,F22,F27,F28,F33,F34)</f>
        <v>0.454098360655738</v>
      </c>
    </row>
    <row r="43" customHeight="1" spans="1:6">
      <c r="A43" s="11"/>
      <c r="B43" s="12" t="s">
        <v>45</v>
      </c>
      <c r="C43" s="13">
        <f>AVERAGE(C5,C6,C7,C8,C9,C10,C11,C12,C13,C14,C15,C16,C17,C18,C19,C20,C21,C22,C23,C24,C25,C26,C27,C28,C29,C30,C31,C32,C33,C34)</f>
        <v>0.646423974873947</v>
      </c>
      <c r="D43" s="14">
        <f>AVERAGE(D5,D6,D7,D8,D9,D10,D11,D12,D13,D14,D15,D16,D17,D18,D19,D20,D21,D22,D23,D24,D25,D26,D27,D28,D29,D30,D31,D32,D33,D34)</f>
        <v>0.681420765027322</v>
      </c>
      <c r="E43" s="13">
        <f>AVERAGE(E5,E6,E7,E8,E9,E10,E11,E12,E13,E14,E15,E16,E17,E18,E19,E20,E21,E22,E23,E24,E25,E26,E27,E28,E29,E30,E31,E32,E33,E34)</f>
        <v>0.24281722050354</v>
      </c>
      <c r="F43" s="14">
        <f>AVERAGE(F5,F6,F7,F8,F9,F10,F11,F12,F13,F14,F15,F16,F17,F18,F19,F20,F21,F22,F23,F24,F25,F26,F27,F28,F29,F30,F31,F32,F33,F34)</f>
        <v>0.496311475409836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F43"/>
  <sheetViews>
    <sheetView showGridLines="0" tabSelected="1" workbookViewId="0">
      <pane ySplit="4" topLeftCell="A5" activePane="bottomLeft" state="frozen"/>
      <selection/>
      <selection pane="bottomLeft" activeCell="J22" sqref="J22"/>
    </sheetView>
  </sheetViews>
  <sheetFormatPr defaultColWidth="9" defaultRowHeight="12" customHeight="1" outlineLevelCol="5"/>
  <cols>
    <col min="1" max="1" width="6" customWidth="1"/>
    <col min="2" max="2" width="70" customWidth="1"/>
    <col min="3" max="6" width="20" customWidth="1"/>
  </cols>
  <sheetData>
    <row r="2" customHeight="1" spans="1:6">
      <c r="A2" s="1" t="s">
        <v>52</v>
      </c>
    </row>
    <row r="4" customHeight="1" spans="1:6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</row>
    <row r="5" customHeight="1" spans="1:6">
      <c r="A5" s="3">
        <v>1</v>
      </c>
      <c r="B5" s="4" t="s">
        <v>7</v>
      </c>
      <c r="C5" s="5">
        <v>0.744449498559577</v>
      </c>
      <c r="D5" s="6">
        <v>0.720461095100865</v>
      </c>
      <c r="E5" s="5">
        <v>0.339106169996014</v>
      </c>
      <c r="F5" s="6">
        <v>0.590778097982709</v>
      </c>
    </row>
    <row r="6" customHeight="1" spans="1:6">
      <c r="A6" s="3">
        <v>2</v>
      </c>
      <c r="B6" s="4" t="s">
        <v>8</v>
      </c>
      <c r="C6" s="5">
        <v>0.788899165607395</v>
      </c>
      <c r="D6" s="6">
        <v>0.740634005763689</v>
      </c>
      <c r="E6" s="5">
        <v>0.281060718711276</v>
      </c>
      <c r="F6" s="6">
        <v>0.530259365994236</v>
      </c>
    </row>
    <row r="7" customHeight="1" spans="1:6">
      <c r="A7" s="3">
        <v>3</v>
      </c>
      <c r="B7" s="4" t="s">
        <v>9</v>
      </c>
      <c r="C7" s="5">
        <v>0.773316843779765</v>
      </c>
      <c r="D7" s="6">
        <v>0.752161383285303</v>
      </c>
      <c r="E7" s="5">
        <v>0.334510951852226</v>
      </c>
      <c r="F7" s="6">
        <v>0.599423631123919</v>
      </c>
    </row>
    <row r="8" customHeight="1" spans="1:6">
      <c r="A8" s="3">
        <v>4</v>
      </c>
      <c r="B8" s="4" t="s">
        <v>10</v>
      </c>
      <c r="C8" s="5">
        <v>0.769780773141011</v>
      </c>
      <c r="D8" s="6">
        <v>0.737752161383285</v>
      </c>
      <c r="E8" s="5">
        <v>0.329276187415349</v>
      </c>
      <c r="F8" s="6">
        <v>0.521613832853026</v>
      </c>
    </row>
    <row r="9" customHeight="1" spans="1:6">
      <c r="A9" s="3">
        <v>5</v>
      </c>
      <c r="B9" s="4" t="s">
        <v>11</v>
      </c>
      <c r="C9" s="5">
        <v>0.7241444579043</v>
      </c>
      <c r="D9" s="6">
        <v>0.706051873198847</v>
      </c>
      <c r="E9" s="5">
        <v>0.266365268266738</v>
      </c>
      <c r="F9" s="6">
        <v>0.481268011527378</v>
      </c>
    </row>
    <row r="10" customHeight="1" spans="1:6">
      <c r="A10" s="3">
        <v>6</v>
      </c>
      <c r="B10" s="4" t="s">
        <v>12</v>
      </c>
      <c r="C10" s="5">
        <v>0.646903195169934</v>
      </c>
      <c r="D10" s="6">
        <v>0.645533141210375</v>
      </c>
      <c r="E10" s="5">
        <v>0.179153844543532</v>
      </c>
      <c r="F10" s="6">
        <v>0.365994236311239</v>
      </c>
    </row>
    <row r="11" customHeight="1" spans="1:6">
      <c r="A11" s="3">
        <v>7</v>
      </c>
      <c r="B11" s="4" t="s">
        <v>13</v>
      </c>
      <c r="C11" s="5">
        <v>0.752546074476857</v>
      </c>
      <c r="D11" s="6">
        <v>0.717579250720461</v>
      </c>
      <c r="E11" s="5">
        <v>0.314771711975233</v>
      </c>
      <c r="F11" s="6">
        <v>0.553314121037464</v>
      </c>
    </row>
    <row r="12" customHeight="1" spans="1:6">
      <c r="A12" s="3">
        <v>8</v>
      </c>
      <c r="B12" s="4" t="s">
        <v>14</v>
      </c>
      <c r="C12" s="5">
        <v>0.700622159574209</v>
      </c>
      <c r="D12" s="6">
        <v>0.677233429394813</v>
      </c>
      <c r="E12" s="5">
        <v>0.251532929498492</v>
      </c>
      <c r="F12" s="6">
        <v>0.406340057636888</v>
      </c>
    </row>
    <row r="13" customHeight="1" spans="1:6">
      <c r="A13" s="3">
        <v>9</v>
      </c>
      <c r="B13" s="4" t="s">
        <v>15</v>
      </c>
      <c r="C13" s="5">
        <v>0.798914488913405</v>
      </c>
      <c r="D13" s="6">
        <v>0.763005780346821</v>
      </c>
      <c r="E13" s="5">
        <v>0.320562196293232</v>
      </c>
      <c r="F13" s="6">
        <v>0.543352601156069</v>
      </c>
    </row>
    <row r="14" customHeight="1" spans="1:6">
      <c r="A14" s="3">
        <v>10</v>
      </c>
      <c r="B14" s="4" t="s">
        <v>16</v>
      </c>
      <c r="C14" s="5">
        <v>0.814010393605369</v>
      </c>
      <c r="D14" s="6">
        <v>0.824207492795389</v>
      </c>
      <c r="E14" s="5">
        <v>0.356227785806351</v>
      </c>
      <c r="F14" s="6">
        <v>0.622478386167147</v>
      </c>
    </row>
    <row r="15" customHeight="1" spans="1:6">
      <c r="A15" s="3">
        <v>11</v>
      </c>
      <c r="B15" s="4" t="s">
        <v>17</v>
      </c>
      <c r="C15" s="5">
        <v>0.674157303370786</v>
      </c>
      <c r="D15" s="6">
        <v>0.654178674351585</v>
      </c>
      <c r="E15" s="5">
        <v>0.181958142891508</v>
      </c>
      <c r="F15" s="6">
        <v>0.363112391930836</v>
      </c>
    </row>
    <row r="16" customHeight="1" spans="1:6">
      <c r="A16" s="3">
        <v>12</v>
      </c>
      <c r="B16" s="4" t="s">
        <v>18</v>
      </c>
      <c r="C16" s="5">
        <v>0.477684955219387</v>
      </c>
      <c r="D16" s="6">
        <v>0.515850144092219</v>
      </c>
      <c r="E16" s="5">
        <v>0.194476384700497</v>
      </c>
      <c r="F16" s="6">
        <v>0.337175792507205</v>
      </c>
    </row>
    <row r="17" customHeight="1" spans="1:6">
      <c r="A17" s="3">
        <v>13</v>
      </c>
      <c r="B17" s="4" t="s">
        <v>19</v>
      </c>
      <c r="C17" s="5">
        <v>0.659030292821247</v>
      </c>
      <c r="D17" s="6">
        <v>0.708933717579251</v>
      </c>
      <c r="E17" s="5">
        <v>0.297673872869672</v>
      </c>
      <c r="F17" s="6">
        <v>0.593659942363112</v>
      </c>
    </row>
    <row r="18" customHeight="1" spans="1:6">
      <c r="A18" s="3">
        <v>14</v>
      </c>
      <c r="B18" s="4" t="s">
        <v>20</v>
      </c>
      <c r="C18" s="5">
        <v>0.641357130071771</v>
      </c>
      <c r="D18" s="6">
        <v>0.605187319884726</v>
      </c>
      <c r="E18" s="5">
        <v>0.355658331795534</v>
      </c>
      <c r="F18" s="6">
        <v>0.478386167146974</v>
      </c>
    </row>
    <row r="19" customHeight="1" spans="1:6">
      <c r="A19" s="3">
        <v>15</v>
      </c>
      <c r="B19" s="4" t="s">
        <v>21</v>
      </c>
      <c r="C19" s="5">
        <v>0.786191865646181</v>
      </c>
      <c r="D19" s="6">
        <v>0.763688760806916</v>
      </c>
      <c r="E19" s="5">
        <v>0.342392673655614</v>
      </c>
      <c r="F19" s="6">
        <v>0.599423631123919</v>
      </c>
    </row>
    <row r="20" customHeight="1" spans="1:6">
      <c r="A20" s="3">
        <v>16</v>
      </c>
      <c r="B20" s="4" t="s">
        <v>22</v>
      </c>
      <c r="C20" s="5">
        <v>0.542701058797026</v>
      </c>
      <c r="D20" s="6">
        <v>0.54178674351585</v>
      </c>
      <c r="E20" s="5">
        <v>0.253721427767143</v>
      </c>
      <c r="F20" s="6">
        <v>0.409221902017291</v>
      </c>
    </row>
    <row r="21" customHeight="1" spans="1:6">
      <c r="A21" s="3">
        <v>17</v>
      </c>
      <c r="B21" s="4" t="s">
        <v>23</v>
      </c>
      <c r="C21" s="5">
        <v>0.705980699350011</v>
      </c>
      <c r="D21" s="6">
        <v>0.665706051873199</v>
      </c>
      <c r="E21" s="5">
        <v>0.270370412466045</v>
      </c>
      <c r="F21" s="6">
        <v>0.512968299711816</v>
      </c>
    </row>
    <row r="22" customHeight="1" spans="1:6">
      <c r="A22" s="3">
        <v>18</v>
      </c>
      <c r="B22" s="4" t="s">
        <v>24</v>
      </c>
      <c r="C22" s="5">
        <v>0.367117815563323</v>
      </c>
      <c r="D22" s="6">
        <v>0.536023054755043</v>
      </c>
      <c r="E22" s="5">
        <v>0.161035950333394</v>
      </c>
      <c r="F22" s="6">
        <v>0.475504322766571</v>
      </c>
    </row>
    <row r="23" customHeight="1" spans="1:6">
      <c r="A23" s="3">
        <v>19</v>
      </c>
      <c r="B23" s="4" t="s">
        <v>25</v>
      </c>
      <c r="C23" s="5">
        <v>0.56522281043565</v>
      </c>
      <c r="D23" s="6">
        <v>0.657060518731988</v>
      </c>
      <c r="E23" s="5">
        <v>0.286083561932897</v>
      </c>
      <c r="F23" s="6">
        <v>0.54178674351585</v>
      </c>
    </row>
    <row r="24" customHeight="1" spans="1:6">
      <c r="A24" s="3">
        <v>20</v>
      </c>
      <c r="B24" s="4" t="s">
        <v>26</v>
      </c>
      <c r="C24" s="5">
        <v>0.497040705399203</v>
      </c>
      <c r="D24" s="6">
        <v>0.550432276657061</v>
      </c>
      <c r="E24" s="5">
        <v>0.225260059650046</v>
      </c>
      <c r="F24" s="6">
        <v>0.403458213256484</v>
      </c>
    </row>
    <row r="25" customHeight="1" spans="1:6">
      <c r="A25" s="3">
        <v>21</v>
      </c>
      <c r="B25" s="4" t="s">
        <v>27</v>
      </c>
      <c r="C25" s="5">
        <v>0.732942604268419</v>
      </c>
      <c r="D25" s="6">
        <v>0.714697406340058</v>
      </c>
      <c r="E25" s="5">
        <v>0.372117790599086</v>
      </c>
      <c r="F25" s="6">
        <v>0.579250720461095</v>
      </c>
    </row>
    <row r="26" customHeight="1" spans="1:6">
      <c r="A26" s="3">
        <v>22</v>
      </c>
      <c r="B26" s="4" t="s">
        <v>28</v>
      </c>
      <c r="C26" s="5">
        <v>0.693632049442666</v>
      </c>
      <c r="D26" s="6">
        <v>0.674351585014409</v>
      </c>
      <c r="E26" s="5">
        <v>0.329431251846506</v>
      </c>
      <c r="F26" s="6">
        <v>0.507204610951009</v>
      </c>
    </row>
    <row r="27" customHeight="1" spans="1:6">
      <c r="A27" s="3">
        <v>23</v>
      </c>
      <c r="B27" s="4" t="s">
        <v>29</v>
      </c>
      <c r="C27" s="5">
        <v>0.124689741632502</v>
      </c>
      <c r="D27" s="6">
        <v>0.504322766570605</v>
      </c>
      <c r="E27" s="5">
        <v>0.104531372348756</v>
      </c>
      <c r="F27" s="6">
        <v>0.599423631123919</v>
      </c>
    </row>
    <row r="28" customHeight="1" spans="1:6">
      <c r="A28" s="3">
        <v>24</v>
      </c>
      <c r="B28" s="4" t="s">
        <v>30</v>
      </c>
      <c r="C28" s="5">
        <v>0.372027344606271</v>
      </c>
      <c r="D28" s="6">
        <v>0.538904899135447</v>
      </c>
      <c r="E28" s="5">
        <v>0.148332946155322</v>
      </c>
      <c r="F28" s="6">
        <v>0.438040345821326</v>
      </c>
    </row>
    <row r="29" customHeight="1" spans="1:6">
      <c r="A29" s="3">
        <v>25</v>
      </c>
      <c r="B29" s="4" t="s">
        <v>31</v>
      </c>
      <c r="C29" s="5">
        <v>0.707407988927851</v>
      </c>
      <c r="D29" s="6">
        <v>0.755043227665706</v>
      </c>
      <c r="E29" s="5">
        <v>0.394505018031071</v>
      </c>
      <c r="F29" s="6">
        <v>0.662824207492795</v>
      </c>
    </row>
    <row r="30" customHeight="1" spans="1:6">
      <c r="A30" s="3">
        <v>26</v>
      </c>
      <c r="B30" s="4" t="s">
        <v>32</v>
      </c>
      <c r="C30" s="5">
        <v>0.660310202973014</v>
      </c>
      <c r="D30" s="6">
        <v>0.734870317002882</v>
      </c>
      <c r="E30" s="5">
        <v>0.351957046144269</v>
      </c>
      <c r="F30" s="6">
        <v>0.610951008645533</v>
      </c>
    </row>
    <row r="31" customHeight="1" spans="1:6">
      <c r="A31" s="3">
        <v>27</v>
      </c>
      <c r="B31" s="4" t="s">
        <v>33</v>
      </c>
      <c r="C31" s="5">
        <v>0.811839718778632</v>
      </c>
      <c r="D31" s="6">
        <v>0.829971181556196</v>
      </c>
      <c r="E31" s="5">
        <v>0.472042601749715</v>
      </c>
      <c r="F31" s="6">
        <v>0.674351585014409</v>
      </c>
    </row>
    <row r="32" customHeight="1" spans="1:6">
      <c r="A32" s="3">
        <v>28</v>
      </c>
      <c r="B32" s="4" t="s">
        <v>34</v>
      </c>
      <c r="C32" s="5">
        <v>0.868132627415078</v>
      </c>
      <c r="D32" s="6">
        <v>0.893371757925072</v>
      </c>
      <c r="E32" s="5">
        <v>0.543219417739579</v>
      </c>
      <c r="F32" s="6">
        <v>0.729106628242075</v>
      </c>
    </row>
    <row r="33" customHeight="1" spans="1:6">
      <c r="A33" s="3">
        <v>29</v>
      </c>
      <c r="B33" s="4" t="s">
        <v>35</v>
      </c>
      <c r="C33" s="5">
        <v>0.576244996834859</v>
      </c>
      <c r="D33" s="6">
        <v>0.726224783861671</v>
      </c>
      <c r="E33" s="5">
        <v>0.3177271820591</v>
      </c>
      <c r="F33" s="6">
        <v>0.585014409221902</v>
      </c>
    </row>
    <row r="34" customHeight="1" spans="1:6">
      <c r="A34" s="3">
        <v>30</v>
      </c>
      <c r="B34" s="4" t="s">
        <v>36</v>
      </c>
      <c r="C34" s="5">
        <v>0.587873327258393</v>
      </c>
      <c r="D34" s="6">
        <v>0.62536023054755</v>
      </c>
      <c r="E34" s="5">
        <v>0.42959258276172</v>
      </c>
      <c r="F34" s="6">
        <v>0.544668587896254</v>
      </c>
    </row>
    <row r="35" customHeight="1" spans="1:6">
      <c r="A35" s="7"/>
      <c r="B35" s="8" t="s">
        <v>37</v>
      </c>
      <c r="C35" s="9">
        <f>AVERAGE(C5,C6,C7,C8,C9,C10)</f>
        <v>0.741248989026997</v>
      </c>
      <c r="D35" s="10">
        <f>AVERAGE(D5,D6,D7,D8,D9,D10)</f>
        <v>0.717098943323727</v>
      </c>
      <c r="E35" s="9">
        <f>AVERAGE(E5,E6,E7,E8,E9,E10)</f>
        <v>0.288245523464189</v>
      </c>
      <c r="F35" s="10">
        <f>AVERAGE(F5,F6,F7,F8,F9,F10)</f>
        <v>0.514889529298751</v>
      </c>
    </row>
    <row r="36" customHeight="1" spans="1:6">
      <c r="A36" s="7"/>
      <c r="B36" s="8" t="s">
        <v>38</v>
      </c>
      <c r="C36" s="9">
        <f>AVERAGE(C11,C12,C13,C14,C15,C16)</f>
        <v>0.702989229193336</v>
      </c>
      <c r="D36" s="10">
        <f>AVERAGE(D11,D12,D13,D14,D15,D16)</f>
        <v>0.692009128616881</v>
      </c>
      <c r="E36" s="9">
        <f>AVERAGE(E11,E12,E13,E14,E15,E16)</f>
        <v>0.269921525194219</v>
      </c>
      <c r="F36" s="10">
        <f>AVERAGE(F11,F12,F13,F14,F15,F16)</f>
        <v>0.470962225072601</v>
      </c>
    </row>
    <row r="37" customHeight="1" spans="1:6">
      <c r="A37" s="7"/>
      <c r="B37" s="8" t="s">
        <v>39</v>
      </c>
      <c r="C37" s="9">
        <f>AVERAGE(C17,C18,C19,C20,C21,C22)</f>
        <v>0.61706314370826</v>
      </c>
      <c r="D37" s="10">
        <f>AVERAGE(D17,D18,D19,D20,D21,D22)</f>
        <v>0.636887608069164</v>
      </c>
      <c r="E37" s="9">
        <f>AVERAGE(E17,E18,E19,E20,E21,E22)</f>
        <v>0.280142111481234</v>
      </c>
      <c r="F37" s="10">
        <f>AVERAGE(F17,F18,F19,F20,F21,F22)</f>
        <v>0.511527377521614</v>
      </c>
    </row>
    <row r="38" customHeight="1" spans="1:6">
      <c r="A38" s="7"/>
      <c r="B38" s="8" t="s">
        <v>40</v>
      </c>
      <c r="C38" s="9">
        <f>AVERAGE(C23,C24,C25,C26,C27,C28)</f>
        <v>0.497592542630785</v>
      </c>
      <c r="D38" s="10">
        <f>AVERAGE(D23,D24,D25,D26,D27,D28)</f>
        <v>0.606628242074928</v>
      </c>
      <c r="E38" s="9">
        <f>AVERAGE(E23,E24,E25,E26,E27,E28)</f>
        <v>0.244292830422102</v>
      </c>
      <c r="F38" s="10">
        <f>AVERAGE(F23,F24,F25,F26,F27,F28)</f>
        <v>0.511527377521614</v>
      </c>
    </row>
    <row r="39" customHeight="1" spans="1:6">
      <c r="A39" s="7"/>
      <c r="B39" s="8" t="s">
        <v>41</v>
      </c>
      <c r="C39" s="9">
        <f>AVERAGE(C29,C30,C31,C32,C33,C34)</f>
        <v>0.701968143697971</v>
      </c>
      <c r="D39" s="10">
        <f>AVERAGE(D29,D30,D31,D32,D33,D34)</f>
        <v>0.760806916426513</v>
      </c>
      <c r="E39" s="9">
        <f>AVERAGE(E29,E30,E31,E32,E33,E34)</f>
        <v>0.418173974747576</v>
      </c>
      <c r="F39" s="10">
        <f>AVERAGE(F29,F30,F31,F32,F33,F34)</f>
        <v>0.634486071085495</v>
      </c>
    </row>
    <row r="40" customHeight="1" spans="1:6">
      <c r="A40" s="7"/>
      <c r="B40" s="8" t="s">
        <v>42</v>
      </c>
      <c r="C40" s="9">
        <f>AVERAGE(C5,C6,C11,C12,C17,C18,C23,C24,C29,C30)</f>
        <v>0.671688602884678</v>
      </c>
      <c r="D40" s="10">
        <f>AVERAGE(D5,D6,D11,D12,D17,D18,D23,D24,D29,D30)</f>
        <v>0.686743515850144</v>
      </c>
      <c r="E40" s="9">
        <f>AVERAGE(E5,E6,E11,E12,E17,E18,E23,E24,E29,E30)</f>
        <v>0.30976094206045</v>
      </c>
      <c r="F40" s="10">
        <f>AVERAGE(F5,F6,F11,F12,F17,F18,F23,F24,F29,F30)</f>
        <v>0.537175792507204</v>
      </c>
    </row>
    <row r="41" customHeight="1" spans="1:6">
      <c r="A41" s="7"/>
      <c r="B41" s="8" t="s">
        <v>43</v>
      </c>
      <c r="C41" s="9">
        <f>AVERAGE(C7,C8,C13,C14,C19,C20,C25,C26,C31,C32)</f>
        <v>0.759146242378755</v>
      </c>
      <c r="D41" s="10">
        <f>AVERAGE(D7,D8,D13,D14,D19,D20,D25,D26,D31,D32)</f>
        <v>0.74949942529693</v>
      </c>
      <c r="E41" s="9">
        <f>AVERAGE(E7,E8,E13,E14,E19,E20,E25,E26,E31,E32)</f>
        <v>0.36535022847248</v>
      </c>
      <c r="F41" s="10">
        <f>AVERAGE(F7,F8,F13,F14,F19,F20,F25,F26,F31,F32)</f>
        <v>0.578542752910996</v>
      </c>
    </row>
    <row r="42" customHeight="1" spans="1:6">
      <c r="A42" s="7"/>
      <c r="B42" s="8" t="s">
        <v>44</v>
      </c>
      <c r="C42" s="9">
        <f>AVERAGE(C9,C10,C15,C16,C21,C22,C27,C28,C33,C34)</f>
        <v>0.525682383690977</v>
      </c>
      <c r="D42" s="10">
        <f>AVERAGE(D9,D10,D15,D16,D21,D22,D27,D28,D33,D34)</f>
        <v>0.611815561959654</v>
      </c>
      <c r="E42" s="9">
        <f>AVERAGE(E9,E10,E15,E16,E21,E22,E27,E28,E33,E34)</f>
        <v>0.225354408652661</v>
      </c>
      <c r="F42" s="10">
        <f>AVERAGE(F9,F10,F15,F16,F21,F22,F27,F28,F33,F34)</f>
        <v>0.470317002881844</v>
      </c>
    </row>
    <row r="43" customHeight="1" spans="1:6">
      <c r="A43" s="11"/>
      <c r="B43" s="12" t="s">
        <v>45</v>
      </c>
      <c r="C43" s="13">
        <f>AVERAGE(C5,C6,C7,C8,C9,C10,C11,C12,C13,C14,C15,C16,C17,C18,C19,C20,C21,C22,C23,C24,C25,C26,C27,C28,C29,C30,C31,C32,C33,C34)</f>
        <v>0.65217240965147</v>
      </c>
      <c r="D43" s="14">
        <f>AVERAGE(D5,D6,D7,D8,D9,D10,D11,D12,D13,D14,D15,D16,D17,D18,D19,D20,D21,D22,D23,D24,D25,D26,D27,D28,D29,D30,D31,D32,D33,D34)</f>
        <v>0.682686167702243</v>
      </c>
      <c r="E43" s="13">
        <f>AVERAGE(E5,E6,E7,E8,E9,E10,E11,E12,E13,E14,E15,E16,E17,E18,E19,E20,E21,E22,E23,E24,E25,E26,E27,E28,E29,E30,E31,E32,E33,E34)</f>
        <v>0.300155193061864</v>
      </c>
      <c r="F43" s="14">
        <f>AVERAGE(F5,F6,F7,F8,F9,F10,F11,F12,F13,F14,F15,F16,F17,F18,F19,F20,F21,F22,F23,F24,F25,F26,F27,F28,F29,F30,F31,F32,F33,F34)</f>
        <v>0.528678516100015</v>
      </c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3"/>
  <sheetViews>
    <sheetView showGridLines="0" zoomScale="70" zoomScaleNormal="70" workbookViewId="0">
      <pane ySplit="4" topLeftCell="A5" activePane="bottomLeft" state="frozen"/>
      <selection/>
      <selection pane="bottomLeft" activeCell="J34" sqref="J34"/>
    </sheetView>
  </sheetViews>
  <sheetFormatPr defaultColWidth="9" defaultRowHeight="12" customHeight="1" outlineLevelCol="5"/>
  <cols>
    <col min="1" max="1" width="6" customWidth="1"/>
    <col min="2" max="2" width="70" customWidth="1"/>
    <col min="3" max="6" width="20" customWidth="1"/>
  </cols>
  <sheetData>
    <row r="1" ht="15" customHeight="1"/>
    <row r="2" ht="22" customHeight="1" spans="1:6">
      <c r="A2" s="1" t="s">
        <v>53</v>
      </c>
    </row>
    <row r="4" customHeight="1" spans="1:6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</row>
    <row r="5" customHeight="1" spans="1:6">
      <c r="A5" s="3">
        <v>1</v>
      </c>
      <c r="B5" s="4" t="s">
        <v>7</v>
      </c>
      <c r="C5" s="5">
        <v>0.696132596685083</v>
      </c>
      <c r="D5" s="6">
        <v>0.64</v>
      </c>
      <c r="E5" s="5">
        <v>0.311738118066018</v>
      </c>
      <c r="F5" s="6">
        <v>0.506666666666667</v>
      </c>
    </row>
    <row r="6" customHeight="1" spans="1:6">
      <c r="A6" s="3">
        <v>2</v>
      </c>
      <c r="B6" s="4" t="s">
        <v>8</v>
      </c>
      <c r="C6" s="5">
        <v>0.817592217267937</v>
      </c>
      <c r="D6" s="6">
        <v>0.8</v>
      </c>
      <c r="E6" s="5">
        <v>0.276090890810376</v>
      </c>
      <c r="F6" s="6">
        <v>0.52</v>
      </c>
    </row>
    <row r="7" customHeight="1" spans="1:6">
      <c r="A7" s="3">
        <v>3</v>
      </c>
      <c r="B7" s="4" t="s">
        <v>9</v>
      </c>
      <c r="C7" s="5">
        <v>0.722128662849444</v>
      </c>
      <c r="D7" s="6">
        <v>0.68</v>
      </c>
      <c r="E7" s="5">
        <v>0.307075127644055</v>
      </c>
      <c r="F7" s="6">
        <v>0.506666666666667</v>
      </c>
    </row>
    <row r="8" customHeight="1" spans="1:6">
      <c r="A8" s="3">
        <v>4</v>
      </c>
      <c r="B8" s="4" t="s">
        <v>10</v>
      </c>
      <c r="C8" s="5">
        <v>0.747740172377549</v>
      </c>
      <c r="D8" s="6">
        <v>0.733333333333333</v>
      </c>
      <c r="E8" s="5">
        <v>0.294813466787989</v>
      </c>
      <c r="F8" s="6">
        <v>0.48</v>
      </c>
    </row>
    <row r="9" customHeight="1" spans="1:6">
      <c r="A9" s="3">
        <v>5</v>
      </c>
      <c r="B9" s="4" t="s">
        <v>11</v>
      </c>
      <c r="C9" s="5">
        <v>0.79066985645933</v>
      </c>
      <c r="D9" s="6">
        <v>0.786666666666667</v>
      </c>
      <c r="E9" s="5">
        <v>0.249399519615693</v>
      </c>
      <c r="F9" s="6">
        <v>0.506666666666667</v>
      </c>
    </row>
    <row r="10" customHeight="1" spans="1:6">
      <c r="A10" s="3">
        <v>6</v>
      </c>
      <c r="B10" s="4" t="s">
        <v>12</v>
      </c>
      <c r="C10" s="5">
        <v>0.659789190401435</v>
      </c>
      <c r="D10" s="6">
        <v>0.689189189189189</v>
      </c>
      <c r="E10" s="5">
        <v>0.0950890236744276</v>
      </c>
      <c r="F10" s="6">
        <v>0.405405405405405</v>
      </c>
    </row>
    <row r="11" customHeight="1" spans="1:6">
      <c r="A11" s="3">
        <v>7</v>
      </c>
      <c r="B11" s="4" t="s">
        <v>13</v>
      </c>
      <c r="C11" s="5">
        <v>0.735249621785174</v>
      </c>
      <c r="D11" s="6">
        <v>0.746666666666667</v>
      </c>
      <c r="E11" s="5">
        <v>0.145077720207254</v>
      </c>
      <c r="F11" s="6">
        <v>0.546666666666667</v>
      </c>
    </row>
    <row r="12" customHeight="1" spans="1:6">
      <c r="A12" s="3">
        <v>8</v>
      </c>
      <c r="B12" s="4" t="s">
        <v>14</v>
      </c>
      <c r="C12" s="5">
        <v>0.65512577765756</v>
      </c>
      <c r="D12" s="6">
        <v>0.546666666666667</v>
      </c>
      <c r="E12" s="5">
        <v>0.150197628458498</v>
      </c>
      <c r="F12" s="6">
        <v>0.413333333333333</v>
      </c>
    </row>
    <row r="13" customHeight="1" spans="1:6">
      <c r="A13" s="3">
        <v>9</v>
      </c>
      <c r="B13" s="4" t="s">
        <v>15</v>
      </c>
      <c r="C13" s="5">
        <v>0.826637314254265</v>
      </c>
      <c r="D13" s="6">
        <v>0.76</v>
      </c>
      <c r="E13" s="5">
        <v>0.282140526430281</v>
      </c>
      <c r="F13" s="6">
        <v>0.506666666666667</v>
      </c>
    </row>
    <row r="14" customHeight="1" spans="1:6">
      <c r="A14" s="3">
        <v>10</v>
      </c>
      <c r="B14" s="4" t="s">
        <v>16</v>
      </c>
      <c r="C14" s="5">
        <v>0.834603047313553</v>
      </c>
      <c r="D14" s="6">
        <v>0.826666666666667</v>
      </c>
      <c r="E14" s="5">
        <v>0.251850262790947</v>
      </c>
      <c r="F14" s="6">
        <v>0.56</v>
      </c>
    </row>
    <row r="15" customHeight="1" spans="1:6">
      <c r="A15" s="3">
        <v>11</v>
      </c>
      <c r="B15" s="4" t="s">
        <v>17</v>
      </c>
      <c r="C15" s="5">
        <v>0.75</v>
      </c>
      <c r="D15" s="6">
        <v>0.68</v>
      </c>
      <c r="E15" s="5">
        <v>0.217721518987342</v>
      </c>
      <c r="F15" s="6">
        <v>0.466666666666667</v>
      </c>
    </row>
    <row r="16" customHeight="1" spans="1:6">
      <c r="A16" s="3">
        <v>12</v>
      </c>
      <c r="B16" s="4" t="s">
        <v>18</v>
      </c>
      <c r="C16" s="5">
        <v>0.466019417475728</v>
      </c>
      <c r="D16" s="6">
        <v>0.506666666666667</v>
      </c>
      <c r="E16" s="5">
        <v>0.205607476635514</v>
      </c>
      <c r="F16" s="6">
        <v>0.346666666666667</v>
      </c>
    </row>
    <row r="17" customHeight="1" spans="1:6">
      <c r="A17" s="3">
        <v>13</v>
      </c>
      <c r="B17" s="4" t="s">
        <v>19</v>
      </c>
      <c r="C17" s="5">
        <v>0.595715272978576</v>
      </c>
      <c r="D17" s="6">
        <v>0.68</v>
      </c>
      <c r="E17" s="5">
        <v>0.129287598944591</v>
      </c>
      <c r="F17" s="6">
        <v>0.506666666666667</v>
      </c>
    </row>
    <row r="18" customHeight="1" spans="1:6">
      <c r="A18" s="3">
        <v>14</v>
      </c>
      <c r="B18" s="4" t="s">
        <v>20</v>
      </c>
      <c r="C18" s="5">
        <v>0.626572327044025</v>
      </c>
      <c r="D18" s="6">
        <v>0.533333333333333</v>
      </c>
      <c r="E18" s="5">
        <v>0.217201743955608</v>
      </c>
      <c r="F18" s="6">
        <v>0.386666666666667</v>
      </c>
    </row>
    <row r="19" customHeight="1" spans="1:6">
      <c r="A19" s="3">
        <v>15</v>
      </c>
      <c r="B19" s="4" t="s">
        <v>21</v>
      </c>
      <c r="C19" s="5">
        <v>0.785827604442094</v>
      </c>
      <c r="D19" s="6">
        <v>0.8</v>
      </c>
      <c r="E19" s="5">
        <v>0.366428963247394</v>
      </c>
      <c r="F19" s="6">
        <v>0.613333333333333</v>
      </c>
    </row>
    <row r="20" customHeight="1" spans="1:6">
      <c r="A20" s="3">
        <v>16</v>
      </c>
      <c r="B20" s="4" t="s">
        <v>22</v>
      </c>
      <c r="C20" s="5">
        <v>0.584308412366055</v>
      </c>
      <c r="D20" s="6">
        <v>0.52</v>
      </c>
      <c r="E20" s="5">
        <v>0.127906976744186</v>
      </c>
      <c r="F20" s="6">
        <v>0.36</v>
      </c>
    </row>
    <row r="21" customHeight="1" spans="1:6">
      <c r="A21" s="3">
        <v>17</v>
      </c>
      <c r="B21" s="4" t="s">
        <v>23</v>
      </c>
      <c r="C21" s="5">
        <v>0.75759534583064</v>
      </c>
      <c r="D21" s="6">
        <v>0.72</v>
      </c>
      <c r="E21" s="5">
        <v>0.167200512491992</v>
      </c>
      <c r="F21" s="6">
        <v>0.453333333333333</v>
      </c>
    </row>
    <row r="22" customHeight="1" spans="1:6">
      <c r="A22" s="3">
        <v>18</v>
      </c>
      <c r="B22" s="4" t="s">
        <v>24</v>
      </c>
      <c r="C22" s="5">
        <v>0.410846873991176</v>
      </c>
      <c r="D22" s="6">
        <v>0.546666666666667</v>
      </c>
      <c r="E22" s="5">
        <v>-0.00586047560013525</v>
      </c>
      <c r="F22" s="6">
        <v>0.413333333333333</v>
      </c>
    </row>
    <row r="23" customHeight="1" spans="1:6">
      <c r="A23" s="3">
        <v>19</v>
      </c>
      <c r="B23" s="4" t="s">
        <v>25</v>
      </c>
      <c r="C23" s="5">
        <v>0.468227424749164</v>
      </c>
      <c r="D23" s="6">
        <v>0.533333333333333</v>
      </c>
      <c r="E23" s="5">
        <v>0.135922330097087</v>
      </c>
      <c r="F23" s="6">
        <v>0.413333333333333</v>
      </c>
    </row>
    <row r="24" customHeight="1" spans="1:6">
      <c r="A24" s="3">
        <v>20</v>
      </c>
      <c r="B24" s="4" t="s">
        <v>26</v>
      </c>
      <c r="C24" s="5">
        <v>0.455503512880562</v>
      </c>
      <c r="D24" s="6">
        <v>0.533333333333333</v>
      </c>
      <c r="E24" s="5">
        <v>0.170450576318547</v>
      </c>
      <c r="F24" s="6">
        <v>0.413333333333333</v>
      </c>
    </row>
    <row r="25" customHeight="1" spans="1:6">
      <c r="A25" s="3">
        <v>21</v>
      </c>
      <c r="B25" s="4" t="s">
        <v>27</v>
      </c>
      <c r="C25" s="5">
        <v>0.699799866577719</v>
      </c>
      <c r="D25" s="6">
        <v>0.68</v>
      </c>
      <c r="E25" s="5">
        <v>0.238889536918232</v>
      </c>
      <c r="F25" s="6">
        <v>0.48</v>
      </c>
    </row>
    <row r="26" customHeight="1" spans="1:6">
      <c r="A26" s="3">
        <v>22</v>
      </c>
      <c r="B26" s="4" t="s">
        <v>28</v>
      </c>
      <c r="C26" s="5">
        <v>0.727214377406932</v>
      </c>
      <c r="D26" s="6">
        <v>0.666666666666667</v>
      </c>
      <c r="E26" s="5">
        <v>0.23780487804878</v>
      </c>
      <c r="F26" s="6">
        <v>0.466666666666667</v>
      </c>
    </row>
    <row r="27" customHeight="1" spans="1:6">
      <c r="A27" s="3">
        <v>23</v>
      </c>
      <c r="B27" s="4" t="s">
        <v>29</v>
      </c>
      <c r="C27" s="5">
        <v>0.213740458015267</v>
      </c>
      <c r="D27" s="6">
        <v>0.546666666666667</v>
      </c>
      <c r="E27" s="5">
        <v>0.0338983050847457</v>
      </c>
      <c r="F27" s="6">
        <v>0.573333333333333</v>
      </c>
    </row>
    <row r="28" customHeight="1" spans="1:6">
      <c r="A28" s="3">
        <v>24</v>
      </c>
      <c r="B28" s="4" t="s">
        <v>30</v>
      </c>
      <c r="C28" s="5">
        <v>0.309671885052541</v>
      </c>
      <c r="D28" s="6">
        <v>0.513513513513513</v>
      </c>
      <c r="E28" s="5">
        <v>0.0187070802746861</v>
      </c>
      <c r="F28" s="6">
        <v>0.418918918918919</v>
      </c>
    </row>
    <row r="29" customHeight="1" spans="1:6">
      <c r="A29" s="3">
        <v>25</v>
      </c>
      <c r="B29" s="4" t="s">
        <v>31</v>
      </c>
      <c r="C29" s="5">
        <v>0.708249496981891</v>
      </c>
      <c r="D29" s="6">
        <v>0.773333333333333</v>
      </c>
      <c r="E29" s="5">
        <v>0.31438127090301</v>
      </c>
      <c r="F29" s="6">
        <v>0.626666666666667</v>
      </c>
    </row>
    <row r="30" customHeight="1" spans="1:6">
      <c r="A30" s="3">
        <v>26</v>
      </c>
      <c r="B30" s="4" t="s">
        <v>32</v>
      </c>
      <c r="C30" s="5">
        <v>0.608548455353364</v>
      </c>
      <c r="D30" s="6">
        <v>0.666666666666667</v>
      </c>
      <c r="E30" s="5">
        <v>0.233028720626632</v>
      </c>
      <c r="F30" s="6">
        <v>0.586666666666667</v>
      </c>
    </row>
    <row r="31" customHeight="1" spans="1:6">
      <c r="A31" s="3">
        <v>27</v>
      </c>
      <c r="B31" s="4" t="s">
        <v>33</v>
      </c>
      <c r="C31" s="5">
        <v>0.821215733015495</v>
      </c>
      <c r="D31" s="6">
        <v>0.84</v>
      </c>
      <c r="E31" s="5">
        <v>0.408450704225352</v>
      </c>
      <c r="F31" s="6">
        <v>0.64</v>
      </c>
    </row>
    <row r="32" customHeight="1" spans="1:6">
      <c r="A32" s="3">
        <v>28</v>
      </c>
      <c r="B32" s="4" t="s">
        <v>34</v>
      </c>
      <c r="C32" s="5">
        <v>0.874184529356943</v>
      </c>
      <c r="D32" s="6">
        <v>0.88</v>
      </c>
      <c r="E32" s="5">
        <v>0.422711219777234</v>
      </c>
      <c r="F32" s="6">
        <v>0.666666666666667</v>
      </c>
    </row>
    <row r="33" customHeight="1" spans="1:6">
      <c r="A33" s="3">
        <v>29</v>
      </c>
      <c r="B33" s="4" t="s">
        <v>35</v>
      </c>
      <c r="C33" s="5">
        <v>0.387417218543046</v>
      </c>
      <c r="D33" s="6">
        <v>0.653333333333333</v>
      </c>
      <c r="E33" s="5">
        <v>0.129201222173723</v>
      </c>
      <c r="F33" s="6">
        <v>0.466666666666667</v>
      </c>
    </row>
    <row r="34" customHeight="1" spans="1:6">
      <c r="A34" s="3">
        <v>30</v>
      </c>
      <c r="B34" s="4" t="s">
        <v>36</v>
      </c>
      <c r="C34" s="5">
        <v>0.505108556832695</v>
      </c>
      <c r="D34" s="6">
        <v>0.653333333333333</v>
      </c>
      <c r="E34" s="5">
        <v>0.232680502776966</v>
      </c>
      <c r="F34" s="6">
        <v>0.48</v>
      </c>
    </row>
    <row r="35" customHeight="1" spans="1:6">
      <c r="A35" s="7"/>
      <c r="B35" s="8" t="s">
        <v>37</v>
      </c>
      <c r="C35" s="9">
        <f>AVERAGE(C5,C6,C7,C8,C9,C10)</f>
        <v>0.739008782673463</v>
      </c>
      <c r="D35" s="10">
        <f>AVERAGE(D5,D6,D7,D8,D9,D10)</f>
        <v>0.721531531531531</v>
      </c>
      <c r="E35" s="9">
        <f>AVERAGE(E5,E6,E7,E8,E9,E10)</f>
        <v>0.255701024433093</v>
      </c>
      <c r="F35" s="10">
        <f>AVERAGE(F5,F6,F7,F8,F9,F10)</f>
        <v>0.487567567567568</v>
      </c>
    </row>
    <row r="36" customHeight="1" spans="1:6">
      <c r="A36" s="7"/>
      <c r="B36" s="8" t="s">
        <v>38</v>
      </c>
      <c r="C36" s="9">
        <f>AVERAGE(C11,C12,C13,C14,C15,C16)</f>
        <v>0.711272529747713</v>
      </c>
      <c r="D36" s="10">
        <f>AVERAGE(D11,D12,D13,D14,D15,D16)</f>
        <v>0.677777777777778</v>
      </c>
      <c r="E36" s="9">
        <f>AVERAGE(E11,E12,E13,E14,E15,E16)</f>
        <v>0.208765855584973</v>
      </c>
      <c r="F36" s="10">
        <f>AVERAGE(F11,F12,F13,F14,F15,F16)</f>
        <v>0.473333333333333</v>
      </c>
    </row>
    <row r="37" customHeight="1" spans="1:6">
      <c r="A37" s="7"/>
      <c r="B37" s="8" t="s">
        <v>39</v>
      </c>
      <c r="C37" s="9">
        <f>AVERAGE(C17,C18,C19,C20,C21,C22)</f>
        <v>0.626810972775428</v>
      </c>
      <c r="D37" s="10">
        <f>AVERAGE(D17,D18,D19,D20,D21,D22)</f>
        <v>0.633333333333333</v>
      </c>
      <c r="E37" s="9">
        <f>AVERAGE(E17,E18,E19,E20,E21,E22)</f>
        <v>0.167027553297273</v>
      </c>
      <c r="F37" s="10">
        <f>AVERAGE(F17,F18,F19,F20,F21,F22)</f>
        <v>0.455555555555556</v>
      </c>
    </row>
    <row r="38" customHeight="1" spans="1:6">
      <c r="A38" s="7"/>
      <c r="B38" s="8" t="s">
        <v>40</v>
      </c>
      <c r="C38" s="9">
        <f>AVERAGE(C23,C24,C25,C26,C27,C28)</f>
        <v>0.479026254113697</v>
      </c>
      <c r="D38" s="10">
        <f>AVERAGE(D23,D24,D25,D26,D27,D28)</f>
        <v>0.578918918918919</v>
      </c>
      <c r="E38" s="9">
        <f>AVERAGE(E23,E24,E25,E26,E27,E28)</f>
        <v>0.139278784457013</v>
      </c>
      <c r="F38" s="10">
        <f>AVERAGE(F23,F24,F25,F26,F27,F28)</f>
        <v>0.460930930930931</v>
      </c>
    </row>
    <row r="39" customHeight="1" spans="1:6">
      <c r="A39" s="7"/>
      <c r="B39" s="8" t="s">
        <v>41</v>
      </c>
      <c r="C39" s="9">
        <f>AVERAGE(C29,C30,C31,C32,C33,C34)</f>
        <v>0.650787331680572</v>
      </c>
      <c r="D39" s="10">
        <f>AVERAGE(D29,D30,D31,D32,D33,D34)</f>
        <v>0.744444444444444</v>
      </c>
      <c r="E39" s="9">
        <f>AVERAGE(E29,E30,E31,E32,E33,E34)</f>
        <v>0.290075606747153</v>
      </c>
      <c r="F39" s="10">
        <f>AVERAGE(F29,F30,F31,F32,F33,F34)</f>
        <v>0.577777777777778</v>
      </c>
    </row>
    <row r="40" customHeight="1" spans="1:6">
      <c r="A40" s="7"/>
      <c r="B40" s="8" t="s">
        <v>42</v>
      </c>
      <c r="C40" s="9">
        <f>AVERAGE(C5,C6,C11,C12,C17,C18,C23,C24,C29,C30)</f>
        <v>0.636691670338334</v>
      </c>
      <c r="D40" s="10">
        <f>AVERAGE(D5,D6,D11,D12,D17,D18,D23,D24,D29,D30)</f>
        <v>0.645333333333333</v>
      </c>
      <c r="E40" s="9">
        <f>AVERAGE(E5,E6,E11,E12,E17,E18,E23,E24,E29,E30)</f>
        <v>0.208337659838762</v>
      </c>
      <c r="F40" s="10">
        <f>AVERAGE(F5,F6,F11,F12,F17,F18,F23,F24,F29,F30)</f>
        <v>0.492</v>
      </c>
    </row>
    <row r="41" customHeight="1" spans="1:6">
      <c r="A41" s="7"/>
      <c r="B41" s="8" t="s">
        <v>43</v>
      </c>
      <c r="C41" s="9">
        <f>AVERAGE(C7,C8,C13,C14,C19,C20,C25,C26,C31,C32)</f>
        <v>0.762365971996005</v>
      </c>
      <c r="D41" s="10">
        <f>AVERAGE(D7,D8,D13,D14,D19,D20,D25,D26,D31,D32)</f>
        <v>0.738666666666667</v>
      </c>
      <c r="E41" s="9">
        <f>AVERAGE(E7,E8,E13,E14,E19,E20,E25,E26,E31,E32)</f>
        <v>0.293807166261445</v>
      </c>
      <c r="F41" s="10">
        <f>AVERAGE(F7,F8,F13,F14,F19,F20,F25,F26,F31,F32)</f>
        <v>0.528</v>
      </c>
    </row>
    <row r="42" customHeight="1" spans="1:6">
      <c r="A42" s="7"/>
      <c r="B42" s="8" t="s">
        <v>44</v>
      </c>
      <c r="C42" s="9">
        <f>AVERAGE(C9,C10,C15,C16,C21,C22,C27,C28,C33,C34)</f>
        <v>0.525085880260186</v>
      </c>
      <c r="D42" s="10">
        <f>AVERAGE(D9,D10,D15,D16,D21,D22,D27,D28,D33,D34)</f>
        <v>0.629603603603604</v>
      </c>
      <c r="E42" s="9">
        <f>AVERAGE(E9,E10,E15,E16,E21,E22,E27,E28,E33,E34)</f>
        <v>0.134364468611495</v>
      </c>
      <c r="F42" s="10">
        <f>AVERAGE(F9,F10,F15,F16,F21,F22,F27,F28,F33,F34)</f>
        <v>0.453099099099099</v>
      </c>
    </row>
    <row r="43" customHeight="1" spans="1:6">
      <c r="A43" s="11"/>
      <c r="B43" s="12" t="s">
        <v>45</v>
      </c>
      <c r="C43" s="13">
        <f>AVERAGE(C5,C6,C7,C8,C9,C10,C11,C12,C13,C14,C15,C16,C17,C18,C19,C20,C21,C22,C23,C24,C25,C26,C27,C28,C29,C30,C31,C32,C33,C34)</f>
        <v>0.641381174198175</v>
      </c>
      <c r="D43" s="14">
        <f>AVERAGE(D5,D6,D7,D8,D9,D10,D11,D12,D13,D14,D15,D16,D17,D18,D19,D20,D21,D22,D23,D24,D25,D26,D27,D28,D29,D30,D31,D32,D33,D34)</f>
        <v>0.671201201201201</v>
      </c>
      <c r="E43" s="13">
        <f>AVERAGE(E5,E6,E7,E8,E9,E10,E11,E12,E13,E14,E15,E16,E17,E18,E19,E20,E21,E22,E23,E24,E25,E26,E27,E28,E29,E30,E31,E32,E33,E34)</f>
        <v>0.212169764903901</v>
      </c>
      <c r="F43" s="14">
        <f>AVERAGE(F5,F6,F7,F8,F9,F10,F11,F12,F13,F14,F15,F16,F17,F18,F19,F20,F21,F22,F23,F24,F25,F26,F27,F28,F29,F30,F31,F32,F33,F34)</f>
        <v>0.491033033033033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2017</vt:lpstr>
      <vt:lpstr>2018</vt:lpstr>
      <vt:lpstr>2019</vt:lpstr>
      <vt:lpstr>2020</vt:lpstr>
      <vt:lpstr>2021</vt:lpstr>
      <vt:lpstr>2022</vt:lpstr>
      <vt:lpstr>2023</vt:lpstr>
      <vt:lpstr>2024</vt:lpstr>
      <vt:lpstr>2025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Helen</cp:lastModifiedBy>
  <dcterms:created xsi:type="dcterms:W3CDTF">2026-09-18T01:21:00Z</dcterms:created>
  <dcterms:modified xsi:type="dcterms:W3CDTF">2026-09-18T01:48:06Z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357902C6B7DD495A9DA1439DA95EE0F4_13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